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aba3f5c5035a70/Documents/"/>
    </mc:Choice>
  </mc:AlternateContent>
  <xr:revisionPtr revIDLastSave="230" documentId="8_{B801EFD4-88D1-B646-A875-A4FE22C2A8EB}" xr6:coauthVersionLast="47" xr6:coauthVersionMax="47" xr10:uidLastSave="{64EEA240-9ADA-E64A-9E2A-49BAB3C452D7}"/>
  <bookViews>
    <workbookView xWindow="0" yWindow="660" windowWidth="30240" windowHeight="18980" xr2:uid="{FAEE9CD3-975B-0C4A-91F8-174E0793F7E6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76" i="1" l="1"/>
  <c r="Y575" i="1"/>
  <c r="Y574" i="1"/>
  <c r="Y572" i="1"/>
  <c r="Y570" i="1"/>
  <c r="Y560" i="1"/>
  <c r="Y559" i="1"/>
  <c r="Y558" i="1"/>
  <c r="Y557" i="1"/>
  <c r="Y554" i="1"/>
  <c r="Y553" i="1"/>
  <c r="Y551" i="1"/>
  <c r="Y550" i="1"/>
  <c r="Y548" i="1"/>
  <c r="Y546" i="1"/>
  <c r="Y545" i="1"/>
  <c r="Y544" i="1"/>
  <c r="Y543" i="1"/>
  <c r="Y541" i="1"/>
  <c r="Y538" i="1"/>
  <c r="Y537" i="1"/>
  <c r="Y532" i="1"/>
  <c r="Y530" i="1"/>
  <c r="Y528" i="1"/>
  <c r="Y527" i="1"/>
  <c r="Y523" i="1"/>
  <c r="Y518" i="1"/>
  <c r="Y512" i="1"/>
  <c r="Y510" i="1"/>
  <c r="Y507" i="1"/>
  <c r="Y502" i="1"/>
  <c r="Y501" i="1"/>
  <c r="Y500" i="1"/>
  <c r="Y499" i="1"/>
  <c r="Y498" i="1"/>
  <c r="Y497" i="1"/>
  <c r="Y496" i="1"/>
  <c r="Y495" i="1"/>
  <c r="Y493" i="1"/>
  <c r="Y492" i="1"/>
  <c r="Y491" i="1"/>
  <c r="Y490" i="1"/>
  <c r="Y489" i="1"/>
  <c r="Y487" i="1"/>
  <c r="Y485" i="1"/>
  <c r="Y482" i="1"/>
  <c r="Y480" i="1"/>
  <c r="Y479" i="1"/>
  <c r="Y478" i="1"/>
  <c r="Y477" i="1"/>
  <c r="Y470" i="1"/>
  <c r="Y469" i="1"/>
  <c r="Y468" i="1"/>
  <c r="Y461" i="1"/>
  <c r="Y460" i="1"/>
  <c r="Y456" i="1"/>
  <c r="Y454" i="1"/>
  <c r="Y453" i="1"/>
  <c r="Y452" i="1"/>
  <c r="Y451" i="1"/>
  <c r="Y450" i="1"/>
  <c r="Y449" i="1"/>
  <c r="Y447" i="1"/>
  <c r="Y443" i="1"/>
  <c r="Y438" i="1"/>
  <c r="Y435" i="1"/>
  <c r="Y433" i="1"/>
  <c r="Y432" i="1"/>
  <c r="Y430" i="1"/>
  <c r="Y429" i="1"/>
  <c r="Y428" i="1"/>
  <c r="Y427" i="1"/>
  <c r="Y426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0" i="1"/>
  <c r="Y409" i="1"/>
  <c r="Y408" i="1"/>
  <c r="Y407" i="1"/>
  <c r="Y405" i="1"/>
  <c r="Y404" i="1"/>
  <c r="Y403" i="1"/>
  <c r="Y402" i="1"/>
  <c r="Y401" i="1"/>
  <c r="Y398" i="1"/>
  <c r="Y396" i="1"/>
  <c r="Y394" i="1"/>
  <c r="Y393" i="1"/>
  <c r="Y391" i="1"/>
  <c r="Y390" i="1"/>
  <c r="Y389" i="1"/>
  <c r="Y388" i="1"/>
  <c r="Y387" i="1"/>
  <c r="Y386" i="1"/>
  <c r="Y385" i="1"/>
  <c r="Y384" i="1"/>
  <c r="Y383" i="1"/>
  <c r="Y382" i="1"/>
  <c r="Y381" i="1"/>
  <c r="Y377" i="1"/>
  <c r="Y374" i="1"/>
  <c r="Y373" i="1"/>
  <c r="Y372" i="1"/>
  <c r="Y371" i="1"/>
  <c r="Y369" i="1"/>
  <c r="Y368" i="1"/>
  <c r="Y367" i="1"/>
  <c r="Y365" i="1"/>
  <c r="Y364" i="1"/>
  <c r="Y363" i="1"/>
  <c r="Y362" i="1"/>
  <c r="Y361" i="1"/>
  <c r="Y360" i="1"/>
  <c r="Y359" i="1"/>
  <c r="Y358" i="1"/>
  <c r="Y357" i="1"/>
  <c r="Y354" i="1"/>
  <c r="Y352" i="1"/>
  <c r="Y351" i="1"/>
  <c r="Y350" i="1"/>
  <c r="Y348" i="1"/>
  <c r="Y346" i="1"/>
  <c r="Y344" i="1"/>
  <c r="Y343" i="1"/>
  <c r="Y342" i="1"/>
  <c r="Y340" i="1"/>
  <c r="Y339" i="1"/>
  <c r="Y338" i="1"/>
  <c r="Y337" i="1"/>
  <c r="Y332" i="1"/>
  <c r="Y331" i="1"/>
  <c r="Y330" i="1"/>
  <c r="Y328" i="1"/>
  <c r="Y326" i="1"/>
  <c r="Y324" i="1"/>
  <c r="Y321" i="1"/>
  <c r="Y320" i="1"/>
  <c r="Y318" i="1"/>
  <c r="Y317" i="1"/>
  <c r="Y316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299" i="1"/>
  <c r="Y298" i="1"/>
  <c r="Y297" i="1"/>
  <c r="Y296" i="1"/>
  <c r="Y294" i="1"/>
  <c r="Y293" i="1"/>
  <c r="Y292" i="1"/>
  <c r="Y291" i="1"/>
  <c r="Y290" i="1"/>
  <c r="Y289" i="1"/>
  <c r="Y288" i="1"/>
  <c r="Y287" i="1"/>
  <c r="Y285" i="1"/>
  <c r="Y284" i="1"/>
  <c r="Y283" i="1"/>
  <c r="Y282" i="1"/>
  <c r="Y281" i="1"/>
  <c r="Y280" i="1"/>
  <c r="Y279" i="1"/>
  <c r="Y278" i="1"/>
  <c r="Y276" i="1"/>
  <c r="Y275" i="1"/>
  <c r="Y273" i="1"/>
  <c r="Y271" i="1"/>
  <c r="Y269" i="1"/>
  <c r="Y268" i="1"/>
  <c r="Y265" i="1"/>
  <c r="Y264" i="1"/>
  <c r="Y263" i="1"/>
  <c r="Y262" i="1"/>
  <c r="Y261" i="1"/>
  <c r="Y260" i="1"/>
  <c r="Y259" i="1"/>
  <c r="Y257" i="1"/>
  <c r="Y255" i="1"/>
  <c r="Y254" i="1"/>
  <c r="Y253" i="1"/>
  <c r="Y252" i="1"/>
  <c r="Y250" i="1"/>
  <c r="Y249" i="1"/>
  <c r="Y248" i="1"/>
  <c r="Y247" i="1"/>
  <c r="Y246" i="1"/>
  <c r="Y244" i="1"/>
  <c r="Y241" i="1"/>
  <c r="Y240" i="1"/>
  <c r="Y239" i="1"/>
  <c r="Y238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09" i="1"/>
  <c r="Y208" i="1"/>
  <c r="Y203" i="1"/>
  <c r="Y201" i="1"/>
  <c r="Y200" i="1"/>
  <c r="Y199" i="1"/>
  <c r="Y196" i="1"/>
  <c r="Y195" i="1"/>
  <c r="Y194" i="1"/>
  <c r="Y193" i="1"/>
  <c r="Y192" i="1"/>
  <c r="Y189" i="1"/>
  <c r="Y188" i="1"/>
  <c r="Y187" i="1"/>
  <c r="Y185" i="1"/>
  <c r="Y184" i="1"/>
  <c r="Y183" i="1"/>
  <c r="Y182" i="1"/>
  <c r="Y181" i="1"/>
  <c r="Y180" i="1"/>
  <c r="Y176" i="1"/>
  <c r="Y175" i="1"/>
  <c r="Y174" i="1"/>
  <c r="Y173" i="1"/>
  <c r="Y172" i="1"/>
  <c r="Y171" i="1"/>
  <c r="Y170" i="1"/>
  <c r="Y168" i="1"/>
  <c r="Y167" i="1"/>
  <c r="Y166" i="1"/>
  <c r="Y165" i="1"/>
  <c r="Y164" i="1"/>
  <c r="Y163" i="1"/>
  <c r="Y161" i="1"/>
  <c r="Y160" i="1"/>
  <c r="Y159" i="1"/>
  <c r="Y158" i="1"/>
  <c r="Y157" i="1"/>
  <c r="Y155" i="1"/>
  <c r="Y154" i="1"/>
  <c r="Y153" i="1"/>
  <c r="Y151" i="1"/>
  <c r="Y150" i="1"/>
  <c r="Y148" i="1"/>
  <c r="Y147" i="1"/>
  <c r="Y145" i="1"/>
  <c r="Y143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5" i="1"/>
  <c r="Y71" i="1"/>
  <c r="Y70" i="1"/>
  <c r="Y69" i="1"/>
  <c r="Y68" i="1"/>
  <c r="Y67" i="1"/>
  <c r="Y66" i="1"/>
  <c r="Y65" i="1"/>
  <c r="Y64" i="1"/>
  <c r="Y63" i="1"/>
  <c r="Y62" i="1"/>
  <c r="Y61" i="1"/>
  <c r="Y60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3" i="1"/>
  <c r="Y41" i="1"/>
  <c r="Y40" i="1"/>
  <c r="Y39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5" i="1"/>
  <c r="Y13" i="1"/>
  <c r="Y12" i="1"/>
  <c r="Y11" i="1"/>
  <c r="Y10" i="1"/>
  <c r="Y9" i="1"/>
  <c r="Y7" i="1"/>
  <c r="Y6" i="1"/>
  <c r="Y5" i="1"/>
  <c r="Y4" i="1"/>
  <c r="Y3" i="1"/>
  <c r="Y2" i="1"/>
  <c r="AE10" i="1" l="1" a="1"/>
  <c r="AE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<sst xmlns="http://schemas.openxmlformats.org/spreadsheetml/2006/main" count="2490" uniqueCount="278">
  <si>
    <t>Customer Tier</t>
  </si>
  <si>
    <t>Transaction date</t>
  </si>
  <si>
    <t>Work_type</t>
  </si>
  <si>
    <t>Quantity</t>
  </si>
  <si>
    <t>Distance</t>
  </si>
  <si>
    <t>Distance Tier</t>
  </si>
  <si>
    <t>Recurring</t>
  </si>
  <si>
    <t>31/12/2022</t>
  </si>
  <si>
    <t>Remove and Replace</t>
  </si>
  <si>
    <t>Door (General)</t>
  </si>
  <si>
    <t>Loyalty</t>
  </si>
  <si>
    <t>15/01/2022</t>
  </si>
  <si>
    <t>Operator/Opener</t>
  </si>
  <si>
    <t>30/06/2022</t>
  </si>
  <si>
    <t>Install</t>
  </si>
  <si>
    <t>Other/Misc</t>
  </si>
  <si>
    <t>27/02/2023</t>
  </si>
  <si>
    <t>Replace</t>
  </si>
  <si>
    <t>15/05/2023</t>
  </si>
  <si>
    <t>Hardware/Parts</t>
  </si>
  <si>
    <t>26/07/2022</t>
  </si>
  <si>
    <t>30/01/2024</t>
  </si>
  <si>
    <t>29/01/2024</t>
  </si>
  <si>
    <t>Remove</t>
  </si>
  <si>
    <t>Repair</t>
  </si>
  <si>
    <t>High Speed Door</t>
  </si>
  <si>
    <t>Rental</t>
  </si>
  <si>
    <t>Telehandler</t>
  </si>
  <si>
    <t>14/05/2021</t>
  </si>
  <si>
    <t>26/02/2022</t>
  </si>
  <si>
    <t>17/05/2022</t>
  </si>
  <si>
    <t>Service Call</t>
  </si>
  <si>
    <t>27/11/2021</t>
  </si>
  <si>
    <t>30/09/2022</t>
  </si>
  <si>
    <t>16/04/2025</t>
  </si>
  <si>
    <t>29/03/2024</t>
  </si>
  <si>
    <t>Traffic/Crash Door</t>
  </si>
  <si>
    <t>19/12/2023</t>
  </si>
  <si>
    <t>Supply &amp; Install</t>
  </si>
  <si>
    <t>30/11/2021</t>
  </si>
  <si>
    <t>14/04/2025</t>
  </si>
  <si>
    <t>19/01/2024</t>
  </si>
  <si>
    <t>New</t>
  </si>
  <si>
    <t>19/08/2023</t>
  </si>
  <si>
    <t>20/06/2022</t>
  </si>
  <si>
    <t>22/04/2023</t>
  </si>
  <si>
    <t>14/06/2023</t>
  </si>
  <si>
    <t>24/07/2023</t>
  </si>
  <si>
    <t>28/03/2023</t>
  </si>
  <si>
    <t>Supply Only</t>
  </si>
  <si>
    <t>20/09/2023</t>
  </si>
  <si>
    <t>15/08/2024</t>
  </si>
  <si>
    <t>18/09/2025</t>
  </si>
  <si>
    <t>22/11/2024</t>
  </si>
  <si>
    <t>14/12/2020</t>
  </si>
  <si>
    <t>18/12/2020</t>
  </si>
  <si>
    <t>23/04/2022</t>
  </si>
  <si>
    <t>20/03/2023</t>
  </si>
  <si>
    <t>21/03/2025</t>
  </si>
  <si>
    <t>14/04/2023</t>
  </si>
  <si>
    <t>25/10/2024</t>
  </si>
  <si>
    <t>Remote/Photo Eye</t>
  </si>
  <si>
    <t>21/03/2026</t>
  </si>
  <si>
    <t>26/11/2022</t>
  </si>
  <si>
    <t>25/07/2024</t>
  </si>
  <si>
    <t>18/05/2022</t>
  </si>
  <si>
    <t>install</t>
  </si>
  <si>
    <t>26/04/2024</t>
  </si>
  <si>
    <t>16/10/2021</t>
  </si>
  <si>
    <t>24/03/2023</t>
  </si>
  <si>
    <t>29/07/2023</t>
  </si>
  <si>
    <t>26/03/2022</t>
  </si>
  <si>
    <t>19/05/2022</t>
  </si>
  <si>
    <t>20/12/2024</t>
  </si>
  <si>
    <t>29/04/2022</t>
  </si>
  <si>
    <t>27/05/2022</t>
  </si>
  <si>
    <t>17/08/2021</t>
  </si>
  <si>
    <t>20/11/2021</t>
  </si>
  <si>
    <t>20/12/2021</t>
  </si>
  <si>
    <t>16/08/2024</t>
  </si>
  <si>
    <t>21/09/2024</t>
  </si>
  <si>
    <t>Specialty Door</t>
  </si>
  <si>
    <t>31/08/2022</t>
  </si>
  <si>
    <t>13/09/2021</t>
  </si>
  <si>
    <t>22/01/2024</t>
  </si>
  <si>
    <t>24/05/2021</t>
  </si>
  <si>
    <t>22/10/2022</t>
  </si>
  <si>
    <t>24/10/2020</t>
  </si>
  <si>
    <t>Labor</t>
  </si>
  <si>
    <t>14/11/2020</t>
  </si>
  <si>
    <t>25/11/2021</t>
  </si>
  <si>
    <t>28/02/2023</t>
  </si>
  <si>
    <t>22/11/2021</t>
  </si>
  <si>
    <t>29/05/2024</t>
  </si>
  <si>
    <t>28/02/2025</t>
  </si>
  <si>
    <t>20/03/2025</t>
  </si>
  <si>
    <t>13/11/2025</t>
  </si>
  <si>
    <t>23/04/2025</t>
  </si>
  <si>
    <t>15/03/2021</t>
  </si>
  <si>
    <t>28/04/2025</t>
  </si>
  <si>
    <t>16/01/2021</t>
  </si>
  <si>
    <t>25/01/2022</t>
  </si>
  <si>
    <t>27/04/2021</t>
  </si>
  <si>
    <t>17/03/2022</t>
  </si>
  <si>
    <t>labor</t>
  </si>
  <si>
    <t>21/02/2024</t>
  </si>
  <si>
    <t>15/03/2022</t>
  </si>
  <si>
    <t>20/07/2021</t>
  </si>
  <si>
    <t>25/04/2024</t>
  </si>
  <si>
    <t>21/10/2025</t>
  </si>
  <si>
    <t>21/07/2021</t>
  </si>
  <si>
    <t>27/02/2025</t>
  </si>
  <si>
    <t>13/02/2026</t>
  </si>
  <si>
    <t>16/10/2025</t>
  </si>
  <si>
    <t>28/05/2024</t>
  </si>
  <si>
    <t>29/01/2021</t>
  </si>
  <si>
    <t>18/08/2021</t>
  </si>
  <si>
    <t>29/09/2021</t>
  </si>
  <si>
    <t>19/10/2024</t>
  </si>
  <si>
    <t>20/08/2025</t>
  </si>
  <si>
    <t>27/09/2025</t>
  </si>
  <si>
    <t>18/11/2024</t>
  </si>
  <si>
    <t>25/02/2021</t>
  </si>
  <si>
    <t>14/07/2024</t>
  </si>
  <si>
    <t xml:space="preserve">Labor
</t>
  </si>
  <si>
    <t>29/12/2023</t>
  </si>
  <si>
    <t>27/10/2025</t>
  </si>
  <si>
    <t>28/12/2020</t>
  </si>
  <si>
    <t>27/07/2024</t>
  </si>
  <si>
    <t>19/02/2025</t>
  </si>
  <si>
    <t>29/04/2025</t>
  </si>
  <si>
    <t>19/12/2025</t>
  </si>
  <si>
    <t>Modify</t>
  </si>
  <si>
    <t>Relocate</t>
  </si>
  <si>
    <t>15/02/2024</t>
  </si>
  <si>
    <t>22/04/2024</t>
  </si>
  <si>
    <t>25/01/2024</t>
  </si>
  <si>
    <t>21/03/2023</t>
  </si>
  <si>
    <t>13/06/2023</t>
  </si>
  <si>
    <t>19/06/2025</t>
  </si>
  <si>
    <t>27/09/2021</t>
  </si>
  <si>
    <t>31/07/2024</t>
  </si>
  <si>
    <t>27/09/2024</t>
  </si>
  <si>
    <t>16/11/2023</t>
  </si>
  <si>
    <t>29/03/2023</t>
  </si>
  <si>
    <t>Firedoor</t>
  </si>
  <si>
    <t>Drop Test</t>
  </si>
  <si>
    <t>Bumpers</t>
  </si>
  <si>
    <t>Is_customer_Lenworth</t>
  </si>
  <si>
    <t>Dock Seal</t>
  </si>
  <si>
    <t>Door(general)</t>
  </si>
  <si>
    <t>Dimensions</t>
  </si>
  <si>
    <t>Column1</t>
  </si>
  <si>
    <t>Flat_Services</t>
  </si>
  <si>
    <t>Sales price</t>
  </si>
  <si>
    <t>Amount</t>
  </si>
  <si>
    <t>Totals</t>
  </si>
  <si>
    <t>02/10/2023</t>
  </si>
  <si>
    <t>07/07/2021</t>
  </si>
  <si>
    <t>16 * 16</t>
  </si>
  <si>
    <t>03/10/2022</t>
  </si>
  <si>
    <t>14 * 16</t>
  </si>
  <si>
    <t>10/12/2025</t>
  </si>
  <si>
    <t>9 * 10</t>
  </si>
  <si>
    <t>03/03/2021</t>
  </si>
  <si>
    <t>16 * 14</t>
  </si>
  <si>
    <t>14 * 14</t>
  </si>
  <si>
    <t>03/02/2021</t>
  </si>
  <si>
    <t>05/02/2022</t>
  </si>
  <si>
    <t>9 * 7</t>
  </si>
  <si>
    <t>08/07/2021</t>
  </si>
  <si>
    <t>11 *9</t>
  </si>
  <si>
    <t>03/11/2022</t>
  </si>
  <si>
    <t>17 * 18 &amp; 17 * 16</t>
  </si>
  <si>
    <t>07/06/2021</t>
  </si>
  <si>
    <t>18 * 10</t>
  </si>
  <si>
    <t>10/06/2021</t>
  </si>
  <si>
    <t>07/10/2024</t>
  </si>
  <si>
    <t>12 * 10</t>
  </si>
  <si>
    <t>9 * 8</t>
  </si>
  <si>
    <t>10 * 8</t>
  </si>
  <si>
    <t>08/04/2022</t>
  </si>
  <si>
    <t>12 * 12</t>
  </si>
  <si>
    <t>05/02/2026</t>
  </si>
  <si>
    <t>11/12/2023</t>
  </si>
  <si>
    <t>01/02/2023</t>
  </si>
  <si>
    <t>14 * 8</t>
  </si>
  <si>
    <t>06/06/2025</t>
  </si>
  <si>
    <t>20.6 * 22</t>
  </si>
  <si>
    <t>12 * 8</t>
  </si>
  <si>
    <t>12 * 8 &amp; 8 * 8</t>
  </si>
  <si>
    <t>02/08/2021</t>
  </si>
  <si>
    <t>16 * 8</t>
  </si>
  <si>
    <t>02/12/2024</t>
  </si>
  <si>
    <t>12 * 9</t>
  </si>
  <si>
    <t>10/04/2024</t>
  </si>
  <si>
    <t>16 * 7</t>
  </si>
  <si>
    <t>8 * 7</t>
  </si>
  <si>
    <t>10 * 7.6</t>
  </si>
  <si>
    <t>11/10/2023</t>
  </si>
  <si>
    <t>06/03/2025</t>
  </si>
  <si>
    <t>8 * 8</t>
  </si>
  <si>
    <t>12/01/2023</t>
  </si>
  <si>
    <t>24 * 14</t>
  </si>
  <si>
    <t>01/10/2024</t>
  </si>
  <si>
    <t>Fire Door</t>
  </si>
  <si>
    <t>08/05/2024</t>
  </si>
  <si>
    <t>6 * 3</t>
  </si>
  <si>
    <t>20 * 14</t>
  </si>
  <si>
    <t>03/02/2025</t>
  </si>
  <si>
    <t>16 * 21</t>
  </si>
  <si>
    <t>6 * 4</t>
  </si>
  <si>
    <t>12 * 14</t>
  </si>
  <si>
    <t>03/05/2021</t>
  </si>
  <si>
    <t>4 * 3</t>
  </si>
  <si>
    <t>7 * 6</t>
  </si>
  <si>
    <t>6 * 7</t>
  </si>
  <si>
    <t>09/12/2021</t>
  </si>
  <si>
    <t>03/05/2024</t>
  </si>
  <si>
    <t>10/10/2024</t>
  </si>
  <si>
    <t>06/11/2024</t>
  </si>
  <si>
    <t>Extra Work</t>
  </si>
  <si>
    <t>7 * 7</t>
  </si>
  <si>
    <t>01/07/2025</t>
  </si>
  <si>
    <t>01/06/2024</t>
  </si>
  <si>
    <t>09/10/2025</t>
  </si>
  <si>
    <t xml:space="preserve">8 * 10 </t>
  </si>
  <si>
    <t>09/11/2023</t>
  </si>
  <si>
    <t>02/02/2026</t>
  </si>
  <si>
    <t>01/04/2022</t>
  </si>
  <si>
    <t>04/05/2021</t>
  </si>
  <si>
    <t>07/02/2025</t>
  </si>
  <si>
    <t>06/12/2024</t>
  </si>
  <si>
    <t>10 * 12</t>
  </si>
  <si>
    <t>8.8 * 10</t>
  </si>
  <si>
    <t>04/12/2021</t>
  </si>
  <si>
    <t>16 * 2</t>
  </si>
  <si>
    <t>02/06/2024</t>
  </si>
  <si>
    <t>10/09/2025</t>
  </si>
  <si>
    <t>06/01/2026</t>
  </si>
  <si>
    <t>04/08/2025</t>
  </si>
  <si>
    <t>02/04/2025</t>
  </si>
  <si>
    <t>8 * 10</t>
  </si>
  <si>
    <t>05/07/2021</t>
  </si>
  <si>
    <t>05/11/2024</t>
  </si>
  <si>
    <t>4 * 8</t>
  </si>
  <si>
    <t>09/03/2022</t>
  </si>
  <si>
    <t>07/09/2025</t>
  </si>
  <si>
    <t>14 * 12</t>
  </si>
  <si>
    <t>05/03/2026</t>
  </si>
  <si>
    <t>10*16</t>
  </si>
  <si>
    <t>10 * 10</t>
  </si>
  <si>
    <t>05/01/2024</t>
  </si>
  <si>
    <t>12 * 10 &amp; 10 * 10</t>
  </si>
  <si>
    <t>Bumper</t>
  </si>
  <si>
    <t>02/12/2021</t>
  </si>
  <si>
    <t>10 * 2</t>
  </si>
  <si>
    <t>12 *12</t>
  </si>
  <si>
    <t>05/02/2025</t>
  </si>
  <si>
    <t>02/09/2021</t>
  </si>
  <si>
    <t>11/09/2025</t>
  </si>
  <si>
    <t>10/01/2026</t>
  </si>
  <si>
    <t>05/02/2021</t>
  </si>
  <si>
    <t>03/03/2025</t>
  </si>
  <si>
    <t>06/12/2022</t>
  </si>
  <si>
    <t>06/10/2021</t>
  </si>
  <si>
    <t>10/10/2025</t>
  </si>
  <si>
    <t>03/11/2021</t>
  </si>
  <si>
    <t>08/11/2021</t>
  </si>
  <si>
    <t>01/03/2022</t>
  </si>
  <si>
    <t>07/08/2024</t>
  </si>
  <si>
    <t>shelters</t>
  </si>
  <si>
    <t>12/10/2020</t>
  </si>
  <si>
    <t>2 * 2</t>
  </si>
  <si>
    <t>05/07/2025</t>
  </si>
  <si>
    <t>sqft_services</t>
  </si>
  <si>
    <t>service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</si>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</sst>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1">
    <xf numFmtId="0" fontId="0" fillId="0" borderId="0" xfId="0"/>
  </cellXfs>
  <cellStyles count="2">
    <cellStyle name="HeaderCellStyle" xfId="1" xr:uid="{DC9C068B-EBA0-9D4B-82B5-442DE69E658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83982-414F-034D-B5BA-AD54E4085B99}" name="Table2" displayName="Table2" ref="A1:AA576" totalsRowShown="0">
  <autoFilter ref="A1:AA576" xr:uid="{BDD83982-414F-034D-B5BA-AD54E4085B99}"/>
  <tableColumns count="27">
    <tableColumn id="2" xr3:uid="{193756F6-9654-BE49-8620-84D442C8BBC7}" name="Customer Tier"/>
    <tableColumn id="3" xr3:uid="{36D73D45-1BB5-1D42-B3FD-A631B0477CBF}" name="Transaction date"/>
    <tableColumn id="7" xr3:uid="{1815C027-FFEC-F247-A92A-0D2672EB36F6}" name="Replace"/>
    <tableColumn id="8" xr3:uid="{7551120A-8CC7-E44D-BAD9-71069333D265}" name="Remove"/>
    <tableColumn id="9" xr3:uid="{6CFDDF11-A8E4-9D4E-87C9-64DFE439D8C8}" name="Firedoor"/>
    <tableColumn id="10" xr3:uid="{D4279CF4-EEDC-2849-B4A3-25A2DFE97584}" name="Drop Test"/>
    <tableColumn id="11" xr3:uid="{F3548F69-FD86-3647-9280-1199F571AE1A}" name="Bumpers"/>
    <tableColumn id="12" xr3:uid="{790CFA6B-719E-8643-B031-7E5C1E475EC2}" name="Is_customer_Lenworth"/>
    <tableColumn id="13" xr3:uid="{0C2B6F1D-5518-5647-8038-F4A25271E61A}" name="Specialty Door"/>
    <tableColumn id="14" xr3:uid="{1570ED0F-1A17-7B4F-A033-D4DFBF0878A2}" name="Dock Seal"/>
    <tableColumn id="15" xr3:uid="{C3FCBB32-AEB9-FE41-B928-4698371460C3}" name="Door(general)"/>
    <tableColumn id="16" xr3:uid="{4F18B394-A655-0240-8488-EDA466B4FC4F}" name="Hardware/Parts"/>
    <tableColumn id="18" xr3:uid="{9FAC7286-514D-EB47-901B-DDF0702B76F4}" name="Dimensions"/>
    <tableColumn id="19" xr3:uid="{08040787-7712-DC45-83FE-58C6DCE7D371}" name="Column1"/>
    <tableColumn id="21" xr3:uid="{723EA999-E0DF-124F-838E-F78F1CB272FE}" name="Work_type"/>
    <tableColumn id="22" xr3:uid="{A2F1DE4F-064C-E64E-B273-D0E27F0436BC}" name="sqft_services"/>
    <tableColumn id="23" xr3:uid="{5560F1D9-0914-794D-81DE-827D8A59B5E5}" name="Flat_Services"/>
    <tableColumn id="24" xr3:uid="{7F2C7D00-3589-3741-9232-B128FEFD193A}" name="Operator/Opener"/>
    <tableColumn id="25" xr3:uid="{674B226E-23C7-5F40-AC4F-616FBF139398}" name="Install"/>
    <tableColumn id="26" xr3:uid="{A9CE8745-C5F1-124E-8507-0770A4A49607}" name="Quantity"/>
    <tableColumn id="27" xr3:uid="{2F2DBEE6-5A6A-5E49-BB94-3781EFC16D53}" name="Sales price"/>
    <tableColumn id="28" xr3:uid="{DB76F613-540C-D848-90BD-B4362FEB5D17}" name="Amount"/>
    <tableColumn id="29" xr3:uid="{89B7A7A1-FBD3-D642-8CEC-66CCB0A9C147}" name="Totals"/>
    <tableColumn id="32" xr3:uid="{CCCC8550-BBF1-0942-8983-C2F982FFE7CD}" name="Distance"/>
    <tableColumn id="36" xr3:uid="{8351DACC-6D99-C44C-8E33-D592CADE2FA9}" name="service">
      <calculatedColumnFormula>_xlfn.CONCAT($P2&amp;" "&amp;$O2)</calculatedColumnFormula>
    </tableColumn>
    <tableColumn id="33" xr3:uid="{9CD77E9A-CC2B-0D49-B05D-76614DF1C909}" name="Distance Tier"/>
    <tableColumn id="37" xr3:uid="{BD7B201A-0EBB-D149-9A47-9D04415DEB02}" name="un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4AA0-B0A8-E344-A8E3-522D94F7ED3B}">
  <dimension ref="A1:AE576"/>
  <sheetViews>
    <sheetView tabSelected="1" topLeftCell="R1" workbookViewId="0">
      <selection activeCell="AB29" sqref="AB29"/>
    </sheetView>
  </sheetViews>
  <sheetFormatPr baseColWidth="10" defaultRowHeight="16" x14ac:dyDescent="0.2"/>
  <cols>
    <col min="1" max="1" width="15.1640625" customWidth="1"/>
    <col min="2" max="2" width="17.1640625" customWidth="1"/>
    <col min="6" max="6" width="11.33203125" customWidth="1"/>
    <col min="7" max="7" width="11" customWidth="1"/>
    <col min="8" max="8" width="22.33203125" customWidth="1"/>
    <col min="9" max="9" width="15.33203125" customWidth="1"/>
    <col min="10" max="10" width="11.6640625" customWidth="1"/>
    <col min="11" max="11" width="15" customWidth="1"/>
    <col min="12" max="12" width="16.6640625" customWidth="1"/>
    <col min="13" max="13" width="13.5" customWidth="1"/>
    <col min="14" max="14" width="11" customWidth="1"/>
    <col min="15" max="15" width="12.1640625" customWidth="1"/>
    <col min="16" max="16" width="14.33203125" customWidth="1"/>
    <col min="17" max="17" width="14.5" customWidth="1"/>
    <col min="18" max="18" width="17.5" customWidth="1"/>
    <col min="21" max="21" width="12.5" customWidth="1"/>
    <col min="24" max="24" width="11" customWidth="1"/>
    <col min="25" max="25" width="25.83203125" customWidth="1"/>
    <col min="26" max="26" width="14.33203125" customWidth="1"/>
    <col min="27" max="27" width="10.83203125" customWidth="1"/>
    <col min="31" max="31" width="27.5" bestFit="1" customWidth="1"/>
  </cols>
  <sheetData>
    <row r="1" spans="1:31" x14ac:dyDescent="0.2">
      <c r="A1" t="s">
        <v>0</v>
      </c>
      <c r="B1" t="s">
        <v>1</v>
      </c>
      <c r="C1" t="s">
        <v>17</v>
      </c>
      <c r="D1" t="s">
        <v>23</v>
      </c>
      <c r="E1" t="s">
        <v>145</v>
      </c>
      <c r="F1" t="s">
        <v>146</v>
      </c>
      <c r="G1" t="s">
        <v>147</v>
      </c>
      <c r="H1" t="s">
        <v>148</v>
      </c>
      <c r="I1" t="s">
        <v>81</v>
      </c>
      <c r="J1" t="s">
        <v>149</v>
      </c>
      <c r="K1" t="s">
        <v>150</v>
      </c>
      <c r="L1" t="s">
        <v>19</v>
      </c>
      <c r="M1" t="s">
        <v>151</v>
      </c>
      <c r="N1" t="s">
        <v>152</v>
      </c>
      <c r="O1" t="s">
        <v>2</v>
      </c>
      <c r="P1" t="s">
        <v>275</v>
      </c>
      <c r="Q1" t="s">
        <v>153</v>
      </c>
      <c r="R1" t="s">
        <v>12</v>
      </c>
      <c r="S1" t="s">
        <v>14</v>
      </c>
      <c r="T1" t="s">
        <v>3</v>
      </c>
      <c r="U1" t="s">
        <v>154</v>
      </c>
      <c r="V1" t="s">
        <v>155</v>
      </c>
      <c r="W1" t="s">
        <v>156</v>
      </c>
      <c r="X1" t="s">
        <v>4</v>
      </c>
      <c r="Y1" t="s">
        <v>276</v>
      </c>
      <c r="Z1" t="s">
        <v>5</v>
      </c>
      <c r="AA1" t="s">
        <v>277</v>
      </c>
    </row>
    <row r="2" spans="1:31" x14ac:dyDescent="0.2">
      <c r="A2" t="s">
        <v>6</v>
      </c>
      <c r="B2" t="s">
        <v>157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O2" t="s">
        <v>14</v>
      </c>
      <c r="P2" t="s">
        <v>9</v>
      </c>
      <c r="R2">
        <v>0</v>
      </c>
      <c r="S2">
        <v>1</v>
      </c>
      <c r="T2">
        <v>1</v>
      </c>
      <c r="U2">
        <v>22000</v>
      </c>
      <c r="V2">
        <v>22000</v>
      </c>
      <c r="W2">
        <v>24860</v>
      </c>
      <c r="X2">
        <v>61.63</v>
      </c>
      <c r="Y2" t="str">
        <f t="shared" ref="Y2:Y65" si="0">_xlfn.CONCAT($P2&amp;" "&amp;$O2)</f>
        <v>Door (General) Install</v>
      </c>
      <c r="Z2">
        <v>0</v>
      </c>
    </row>
    <row r="3" spans="1:31" x14ac:dyDescent="0.2">
      <c r="A3" t="s">
        <v>10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O3" t="s">
        <v>14</v>
      </c>
      <c r="P3" t="s">
        <v>9</v>
      </c>
      <c r="R3">
        <v>0</v>
      </c>
      <c r="S3">
        <v>1</v>
      </c>
      <c r="T3">
        <v>1</v>
      </c>
      <c r="U3">
        <v>20200</v>
      </c>
      <c r="V3">
        <v>20200</v>
      </c>
      <c r="W3">
        <v>22826</v>
      </c>
      <c r="X3">
        <v>49.68</v>
      </c>
      <c r="Y3" t="str">
        <f t="shared" si="0"/>
        <v>Door (General) Install</v>
      </c>
      <c r="Z3">
        <v>0</v>
      </c>
    </row>
    <row r="4" spans="1:31" x14ac:dyDescent="0.2">
      <c r="A4" t="s">
        <v>10</v>
      </c>
      <c r="B4" t="s">
        <v>112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O4" t="s">
        <v>14</v>
      </c>
      <c r="P4" t="s">
        <v>9</v>
      </c>
      <c r="R4">
        <v>0</v>
      </c>
      <c r="S4">
        <v>1</v>
      </c>
      <c r="U4">
        <v>17000</v>
      </c>
      <c r="V4">
        <v>17000</v>
      </c>
      <c r="W4">
        <v>19210</v>
      </c>
      <c r="X4">
        <v>170</v>
      </c>
      <c r="Y4" t="str">
        <f t="shared" si="0"/>
        <v>Door (General) Install</v>
      </c>
      <c r="Z4">
        <v>1</v>
      </c>
    </row>
    <row r="5" spans="1:31" x14ac:dyDescent="0.2">
      <c r="A5" t="s">
        <v>6</v>
      </c>
      <c r="B5" t="s">
        <v>158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O5" t="s">
        <v>14</v>
      </c>
      <c r="Q5" t="s">
        <v>149</v>
      </c>
      <c r="R5">
        <v>0</v>
      </c>
      <c r="S5">
        <v>1</v>
      </c>
      <c r="T5">
        <v>1</v>
      </c>
      <c r="U5">
        <v>14200</v>
      </c>
      <c r="V5">
        <v>14200</v>
      </c>
      <c r="W5">
        <v>16046</v>
      </c>
      <c r="X5">
        <v>216.53</v>
      </c>
      <c r="Y5" t="str">
        <f t="shared" si="0"/>
        <v xml:space="preserve"> Install</v>
      </c>
      <c r="Z5">
        <v>2</v>
      </c>
    </row>
    <row r="6" spans="1:31" x14ac:dyDescent="0.2">
      <c r="A6" t="s">
        <v>10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O6" t="s">
        <v>14</v>
      </c>
      <c r="P6" t="s">
        <v>9</v>
      </c>
      <c r="R6">
        <v>0</v>
      </c>
      <c r="S6">
        <v>1</v>
      </c>
      <c r="T6">
        <v>1</v>
      </c>
      <c r="U6">
        <v>13335</v>
      </c>
      <c r="V6">
        <v>13335</v>
      </c>
      <c r="W6">
        <v>15068.55</v>
      </c>
      <c r="X6">
        <v>8.98</v>
      </c>
      <c r="Y6" t="str">
        <f t="shared" si="0"/>
        <v>Door (General) Install</v>
      </c>
      <c r="Z6">
        <v>0</v>
      </c>
    </row>
    <row r="7" spans="1:31" x14ac:dyDescent="0.2">
      <c r="A7" t="s">
        <v>10</v>
      </c>
      <c r="B7" t="s">
        <v>106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O7" t="s">
        <v>14</v>
      </c>
      <c r="P7" t="s">
        <v>9</v>
      </c>
      <c r="R7">
        <v>0</v>
      </c>
      <c r="S7">
        <v>1</v>
      </c>
      <c r="T7">
        <v>1</v>
      </c>
      <c r="U7">
        <v>12000</v>
      </c>
      <c r="V7">
        <v>12000</v>
      </c>
      <c r="W7">
        <v>13560</v>
      </c>
      <c r="X7">
        <v>122.09</v>
      </c>
      <c r="Y7" t="str">
        <f t="shared" si="0"/>
        <v>Door (General) Install</v>
      </c>
      <c r="Z7">
        <v>1</v>
      </c>
    </row>
    <row r="8" spans="1:31" x14ac:dyDescent="0.2">
      <c r="A8" t="s">
        <v>42</v>
      </c>
      <c r="B8" t="s">
        <v>144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 t="s">
        <v>159</v>
      </c>
      <c r="O8" t="s">
        <v>15</v>
      </c>
      <c r="P8" t="s">
        <v>9</v>
      </c>
      <c r="Q8" t="s">
        <v>12</v>
      </c>
      <c r="R8">
        <v>0</v>
      </c>
      <c r="S8">
        <v>0</v>
      </c>
      <c r="T8">
        <v>1</v>
      </c>
      <c r="U8">
        <v>10930</v>
      </c>
      <c r="V8">
        <v>10930</v>
      </c>
      <c r="W8">
        <v>12350.9</v>
      </c>
      <c r="X8">
        <v>696.34</v>
      </c>
      <c r="Z8">
        <v>5</v>
      </c>
    </row>
    <row r="9" spans="1:31" x14ac:dyDescent="0.2">
      <c r="A9" t="s">
        <v>10</v>
      </c>
      <c r="B9" t="s">
        <v>111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O9" t="s">
        <v>14</v>
      </c>
      <c r="P9" t="s">
        <v>9</v>
      </c>
      <c r="Q9" t="s">
        <v>12</v>
      </c>
      <c r="R9">
        <v>0</v>
      </c>
      <c r="S9">
        <v>1</v>
      </c>
      <c r="T9">
        <v>1</v>
      </c>
      <c r="U9">
        <v>10910</v>
      </c>
      <c r="V9">
        <v>10910</v>
      </c>
      <c r="W9">
        <v>12328.3</v>
      </c>
      <c r="X9">
        <v>129.9</v>
      </c>
      <c r="Y9" t="str">
        <f t="shared" si="0"/>
        <v>Door (General) Install</v>
      </c>
      <c r="Z9">
        <v>1</v>
      </c>
    </row>
    <row r="10" spans="1:31" x14ac:dyDescent="0.2">
      <c r="A10" t="s">
        <v>42</v>
      </c>
      <c r="B10" t="s">
        <v>160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 t="s">
        <v>161</v>
      </c>
      <c r="O10" t="s">
        <v>38</v>
      </c>
      <c r="P10" t="s">
        <v>9</v>
      </c>
      <c r="Q10" t="s">
        <v>12</v>
      </c>
      <c r="R10">
        <v>0</v>
      </c>
      <c r="S10">
        <v>0</v>
      </c>
      <c r="T10">
        <v>1</v>
      </c>
      <c r="U10">
        <v>10080</v>
      </c>
      <c r="V10">
        <v>10080</v>
      </c>
      <c r="W10">
        <v>11390.4</v>
      </c>
      <c r="X10">
        <v>281.95999999999998</v>
      </c>
      <c r="Y10" t="str">
        <f t="shared" si="0"/>
        <v>Door (General) Supply &amp; Install</v>
      </c>
      <c r="Z10">
        <v>2</v>
      </c>
      <c r="AE10" t="str" cm="1">
        <f t="array" ref="AE10:AE21">_xlfn.UNIQUE($Y2:$Y576)</f>
        <v>Door (General) Install</v>
      </c>
    </row>
    <row r="11" spans="1:31" x14ac:dyDescent="0.2">
      <c r="A11" t="s">
        <v>6</v>
      </c>
      <c r="B11" t="s">
        <v>162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 t="s">
        <v>163</v>
      </c>
      <c r="O11" t="s">
        <v>14</v>
      </c>
      <c r="P11" t="s">
        <v>9</v>
      </c>
      <c r="R11">
        <v>0</v>
      </c>
      <c r="S11">
        <v>1</v>
      </c>
      <c r="T11">
        <v>1</v>
      </c>
      <c r="U11">
        <v>550</v>
      </c>
      <c r="V11">
        <v>9900</v>
      </c>
      <c r="W11">
        <v>11187</v>
      </c>
      <c r="X11">
        <v>44</v>
      </c>
      <c r="Y11" t="str">
        <f t="shared" si="0"/>
        <v>Door (General) Install</v>
      </c>
      <c r="Z11">
        <v>0</v>
      </c>
      <c r="AE11" t="str">
        <v xml:space="preserve"> Install</v>
      </c>
    </row>
    <row r="12" spans="1:31" x14ac:dyDescent="0.2">
      <c r="A12" t="s">
        <v>10</v>
      </c>
      <c r="B12" t="s">
        <v>164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O12" t="s">
        <v>14</v>
      </c>
      <c r="P12" t="s">
        <v>9</v>
      </c>
      <c r="R12">
        <v>0</v>
      </c>
      <c r="S12">
        <v>1</v>
      </c>
      <c r="U12">
        <v>9600</v>
      </c>
      <c r="V12">
        <v>9600</v>
      </c>
      <c r="W12">
        <v>10848</v>
      </c>
      <c r="X12">
        <v>167.35</v>
      </c>
      <c r="Y12" t="str">
        <f t="shared" si="0"/>
        <v>Door (General) Install</v>
      </c>
      <c r="Z12">
        <v>1</v>
      </c>
      <c r="AE12">
        <v>0</v>
      </c>
    </row>
    <row r="13" spans="1:31" x14ac:dyDescent="0.2">
      <c r="A13" t="s">
        <v>6</v>
      </c>
      <c r="B13" t="s">
        <v>138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 t="s">
        <v>165</v>
      </c>
      <c r="O13" t="s">
        <v>38</v>
      </c>
      <c r="P13" t="s">
        <v>9</v>
      </c>
      <c r="Q13" t="s">
        <v>12</v>
      </c>
      <c r="R13">
        <v>0</v>
      </c>
      <c r="S13">
        <v>0</v>
      </c>
      <c r="T13">
        <v>1</v>
      </c>
      <c r="U13">
        <v>8810</v>
      </c>
      <c r="V13">
        <v>8810</v>
      </c>
      <c r="W13">
        <v>9955.2999999999993</v>
      </c>
      <c r="X13">
        <v>349.43</v>
      </c>
      <c r="Y13" t="str">
        <f t="shared" si="0"/>
        <v>Door (General) Supply &amp; Install</v>
      </c>
      <c r="Z13">
        <v>3</v>
      </c>
      <c r="AE13" t="str">
        <v>Door (General) Supply &amp; Install</v>
      </c>
    </row>
    <row r="14" spans="1:31" x14ac:dyDescent="0.2">
      <c r="A14" t="s">
        <v>42</v>
      </c>
      <c r="B14" t="s">
        <v>144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 t="s">
        <v>166</v>
      </c>
      <c r="O14" t="s">
        <v>15</v>
      </c>
      <c r="P14" t="s">
        <v>9</v>
      </c>
      <c r="Q14" t="s">
        <v>12</v>
      </c>
      <c r="R14">
        <v>0</v>
      </c>
      <c r="S14">
        <v>0</v>
      </c>
      <c r="T14">
        <v>1</v>
      </c>
      <c r="U14">
        <v>8535</v>
      </c>
      <c r="V14">
        <v>8535</v>
      </c>
      <c r="W14">
        <v>9644.5499999999993</v>
      </c>
      <c r="X14">
        <v>696.34</v>
      </c>
      <c r="Z14">
        <v>5</v>
      </c>
      <c r="AE14" t="str">
        <v>High Speed Door Install</v>
      </c>
    </row>
    <row r="15" spans="1:31" x14ac:dyDescent="0.2">
      <c r="A15" t="s">
        <v>10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O15" t="s">
        <v>14</v>
      </c>
      <c r="P15" t="s">
        <v>9</v>
      </c>
      <c r="R15">
        <v>0</v>
      </c>
      <c r="S15">
        <v>1</v>
      </c>
      <c r="T15">
        <v>20</v>
      </c>
      <c r="U15">
        <v>30975</v>
      </c>
      <c r="V15">
        <v>30975</v>
      </c>
      <c r="W15">
        <v>35001.75</v>
      </c>
      <c r="X15">
        <v>51.68</v>
      </c>
      <c r="Y15" t="str">
        <f t="shared" si="0"/>
        <v>Door (General) Install</v>
      </c>
      <c r="Z15">
        <v>0</v>
      </c>
      <c r="AE15" t="str">
        <v>High Speed Door Supply &amp; Install</v>
      </c>
    </row>
    <row r="16" spans="1:31" x14ac:dyDescent="0.2">
      <c r="A16" t="s">
        <v>10</v>
      </c>
      <c r="B16" t="s">
        <v>114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 t="s">
        <v>163</v>
      </c>
      <c r="O16" t="s">
        <v>17</v>
      </c>
      <c r="P16" t="s">
        <v>9</v>
      </c>
      <c r="R16">
        <v>0</v>
      </c>
      <c r="S16">
        <v>0</v>
      </c>
      <c r="T16">
        <v>1</v>
      </c>
      <c r="U16">
        <v>8150</v>
      </c>
      <c r="V16">
        <v>8150</v>
      </c>
      <c r="W16">
        <v>9209.5</v>
      </c>
      <c r="X16">
        <v>143.9</v>
      </c>
      <c r="Z16">
        <v>1</v>
      </c>
      <c r="AE16" t="str">
        <v>Other/Misc Install</v>
      </c>
    </row>
    <row r="17" spans="1:31" x14ac:dyDescent="0.2">
      <c r="A17" t="s">
        <v>6</v>
      </c>
      <c r="B17" t="s">
        <v>167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O17" t="s">
        <v>14</v>
      </c>
      <c r="P17" t="s">
        <v>9</v>
      </c>
      <c r="Q17" t="s">
        <v>12</v>
      </c>
      <c r="R17">
        <v>0</v>
      </c>
      <c r="S17">
        <v>1</v>
      </c>
      <c r="T17">
        <v>1</v>
      </c>
      <c r="U17">
        <v>8030</v>
      </c>
      <c r="V17">
        <v>8030</v>
      </c>
      <c r="W17">
        <v>9073.9</v>
      </c>
      <c r="X17">
        <v>185.77</v>
      </c>
      <c r="Y17" t="str">
        <f t="shared" si="0"/>
        <v>Door (General) Install</v>
      </c>
      <c r="Z17">
        <v>1</v>
      </c>
      <c r="AE17" t="str">
        <v>Fire Door Install</v>
      </c>
    </row>
    <row r="18" spans="1:31" x14ac:dyDescent="0.2">
      <c r="A18" t="s">
        <v>10</v>
      </c>
      <c r="B18" t="s">
        <v>168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O18" t="s">
        <v>14</v>
      </c>
      <c r="P18" t="s">
        <v>9</v>
      </c>
      <c r="R18">
        <v>0</v>
      </c>
      <c r="S18">
        <v>1</v>
      </c>
      <c r="T18">
        <v>1</v>
      </c>
      <c r="U18">
        <v>7500</v>
      </c>
      <c r="V18">
        <v>7500</v>
      </c>
      <c r="W18">
        <v>8475</v>
      </c>
      <c r="X18">
        <v>95.71</v>
      </c>
      <c r="Y18" t="str">
        <f t="shared" si="0"/>
        <v>Door (General) Install</v>
      </c>
      <c r="Z18">
        <v>0</v>
      </c>
      <c r="AE18" t="str">
        <v>Traffic/Crash Door Install</v>
      </c>
    </row>
    <row r="19" spans="1:31" x14ac:dyDescent="0.2">
      <c r="A19" t="s">
        <v>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 t="s">
        <v>169</v>
      </c>
      <c r="O19" t="s">
        <v>38</v>
      </c>
      <c r="P19" t="s">
        <v>9</v>
      </c>
      <c r="R19">
        <v>0</v>
      </c>
      <c r="S19">
        <v>0</v>
      </c>
      <c r="T19">
        <v>1</v>
      </c>
      <c r="U19">
        <v>7340</v>
      </c>
      <c r="V19">
        <v>7340</v>
      </c>
      <c r="W19">
        <v>8294.2000000000007</v>
      </c>
      <c r="X19">
        <v>249.85</v>
      </c>
      <c r="Y19" t="str">
        <f t="shared" si="0"/>
        <v>Door (General) Supply &amp; Install</v>
      </c>
      <c r="Z19">
        <v>2</v>
      </c>
      <c r="AE19" t="str">
        <v>Remote/Photo Eye Install</v>
      </c>
    </row>
    <row r="20" spans="1:31" x14ac:dyDescent="0.2">
      <c r="A20" t="s">
        <v>6</v>
      </c>
      <c r="B20" t="s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O20" t="s">
        <v>14</v>
      </c>
      <c r="P20" t="s">
        <v>9</v>
      </c>
      <c r="R20">
        <v>0</v>
      </c>
      <c r="S20">
        <v>1</v>
      </c>
      <c r="T20">
        <v>1</v>
      </c>
      <c r="U20">
        <v>6980</v>
      </c>
      <c r="V20">
        <v>6980</v>
      </c>
      <c r="W20">
        <v>7887.4</v>
      </c>
      <c r="X20">
        <v>164</v>
      </c>
      <c r="Y20" t="str">
        <f t="shared" si="0"/>
        <v>Door (General) Install</v>
      </c>
      <c r="Z20">
        <v>1</v>
      </c>
      <c r="AE20" t="str">
        <v>Hardware/Parts Install</v>
      </c>
    </row>
    <row r="21" spans="1:31" x14ac:dyDescent="0.2">
      <c r="A21" t="s">
        <v>6</v>
      </c>
      <c r="B21" t="s">
        <v>92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O21" t="s">
        <v>14</v>
      </c>
      <c r="P21" t="s">
        <v>9</v>
      </c>
      <c r="Q21" t="s">
        <v>12</v>
      </c>
      <c r="R21">
        <v>0</v>
      </c>
      <c r="S21">
        <v>1</v>
      </c>
      <c r="T21">
        <v>1</v>
      </c>
      <c r="U21">
        <v>6575</v>
      </c>
      <c r="V21">
        <v>6575</v>
      </c>
      <c r="W21">
        <v>7429.75</v>
      </c>
      <c r="X21">
        <v>68.31</v>
      </c>
      <c r="Y21" t="str">
        <f t="shared" si="0"/>
        <v>Door (General) Install</v>
      </c>
      <c r="Z21">
        <v>0</v>
      </c>
      <c r="AE21" t="str">
        <v>Hardware/Parts Supply &amp; Install</v>
      </c>
    </row>
    <row r="22" spans="1:31" x14ac:dyDescent="0.2">
      <c r="A22" t="s">
        <v>42</v>
      </c>
      <c r="B22" t="s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 t="s">
        <v>171</v>
      </c>
      <c r="O22" t="s">
        <v>14</v>
      </c>
      <c r="P22" t="s">
        <v>9</v>
      </c>
      <c r="Q22" t="s">
        <v>12</v>
      </c>
      <c r="R22">
        <v>0</v>
      </c>
      <c r="S22">
        <v>1</v>
      </c>
      <c r="T22">
        <v>1</v>
      </c>
      <c r="U22">
        <v>6450</v>
      </c>
      <c r="V22">
        <v>6450</v>
      </c>
      <c r="W22">
        <v>7288.5</v>
      </c>
      <c r="X22">
        <v>190</v>
      </c>
      <c r="Y22" t="str">
        <f t="shared" si="0"/>
        <v>Door (General) Install</v>
      </c>
      <c r="Z22">
        <v>1</v>
      </c>
    </row>
    <row r="23" spans="1:31" x14ac:dyDescent="0.2">
      <c r="A23" t="s">
        <v>10</v>
      </c>
      <c r="B23" t="s">
        <v>77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O23" t="s">
        <v>14</v>
      </c>
      <c r="P23" t="s">
        <v>9</v>
      </c>
      <c r="R23">
        <v>0</v>
      </c>
      <c r="S23">
        <v>1</v>
      </c>
      <c r="T23">
        <v>1</v>
      </c>
      <c r="U23">
        <v>6441</v>
      </c>
      <c r="V23">
        <v>6441</v>
      </c>
      <c r="W23">
        <v>7278.33</v>
      </c>
      <c r="X23">
        <v>51.62</v>
      </c>
      <c r="Y23" t="str">
        <f t="shared" si="0"/>
        <v>Door (General) Install</v>
      </c>
      <c r="Z23">
        <v>0</v>
      </c>
    </row>
    <row r="24" spans="1:31" x14ac:dyDescent="0.2">
      <c r="A24" t="s">
        <v>6</v>
      </c>
      <c r="B24" t="s">
        <v>172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O24" t="s">
        <v>14</v>
      </c>
      <c r="P24" t="s">
        <v>9</v>
      </c>
      <c r="R24">
        <v>0</v>
      </c>
      <c r="S24">
        <v>1</v>
      </c>
      <c r="T24">
        <v>2</v>
      </c>
      <c r="U24">
        <v>6145</v>
      </c>
      <c r="V24">
        <v>12290</v>
      </c>
      <c r="W24">
        <v>13887.7</v>
      </c>
      <c r="X24">
        <v>360.92</v>
      </c>
      <c r="Y24" t="str">
        <f t="shared" si="0"/>
        <v>Door (General) Install</v>
      </c>
      <c r="Z24">
        <v>3</v>
      </c>
    </row>
    <row r="25" spans="1:31" x14ac:dyDescent="0.2">
      <c r="A25" t="s">
        <v>10</v>
      </c>
      <c r="B25" t="s">
        <v>76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 t="s">
        <v>173</v>
      </c>
      <c r="O25" t="s">
        <v>14</v>
      </c>
      <c r="P25" t="s">
        <v>9</v>
      </c>
      <c r="R25">
        <v>0</v>
      </c>
      <c r="S25">
        <v>1</v>
      </c>
      <c r="T25">
        <v>1</v>
      </c>
      <c r="U25">
        <v>6069</v>
      </c>
      <c r="V25">
        <v>6069</v>
      </c>
      <c r="W25">
        <v>6857.97</v>
      </c>
      <c r="X25">
        <v>51.62</v>
      </c>
      <c r="Y25" t="str">
        <f t="shared" si="0"/>
        <v>Door (General) Install</v>
      </c>
      <c r="Z25">
        <v>0</v>
      </c>
    </row>
    <row r="26" spans="1:31" x14ac:dyDescent="0.2">
      <c r="A26" t="s">
        <v>6</v>
      </c>
      <c r="B26" t="s">
        <v>174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O26" t="s">
        <v>14</v>
      </c>
      <c r="P26" t="s">
        <v>9</v>
      </c>
      <c r="Q26" t="s">
        <v>12</v>
      </c>
      <c r="R26">
        <v>0</v>
      </c>
      <c r="S26">
        <v>1</v>
      </c>
      <c r="T26">
        <v>1</v>
      </c>
      <c r="U26">
        <v>6000</v>
      </c>
      <c r="V26">
        <v>6000</v>
      </c>
      <c r="W26">
        <v>6780</v>
      </c>
      <c r="X26">
        <v>17.579999999999998</v>
      </c>
      <c r="Y26" t="str">
        <f t="shared" si="0"/>
        <v>Door (General) Install</v>
      </c>
      <c r="Z26">
        <v>0</v>
      </c>
    </row>
    <row r="27" spans="1:31" x14ac:dyDescent="0.2">
      <c r="A27" t="s">
        <v>6</v>
      </c>
      <c r="B27" t="s">
        <v>50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O27" t="s">
        <v>14</v>
      </c>
      <c r="P27" t="s">
        <v>9</v>
      </c>
      <c r="R27">
        <v>0</v>
      </c>
      <c r="S27">
        <v>1</v>
      </c>
      <c r="T27">
        <v>1</v>
      </c>
      <c r="U27">
        <v>5900</v>
      </c>
      <c r="V27">
        <v>5900</v>
      </c>
      <c r="W27">
        <v>6667</v>
      </c>
      <c r="X27">
        <v>279.3</v>
      </c>
      <c r="Y27" t="str">
        <f t="shared" si="0"/>
        <v>Door (General) Install</v>
      </c>
      <c r="Z27">
        <v>2</v>
      </c>
    </row>
    <row r="28" spans="1:31" x14ac:dyDescent="0.2">
      <c r="A28" t="s">
        <v>10</v>
      </c>
      <c r="B28" t="s">
        <v>157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O28" t="s">
        <v>14</v>
      </c>
      <c r="P28" t="s">
        <v>9</v>
      </c>
      <c r="R28">
        <v>0</v>
      </c>
      <c r="S28">
        <v>1</v>
      </c>
      <c r="T28">
        <v>1</v>
      </c>
      <c r="U28">
        <v>5850</v>
      </c>
      <c r="V28">
        <v>5850</v>
      </c>
      <c r="W28">
        <v>6610.5</v>
      </c>
      <c r="X28">
        <v>147.19999999999999</v>
      </c>
      <c r="Y28" t="str">
        <f t="shared" si="0"/>
        <v>Door (General) Install</v>
      </c>
      <c r="Z28">
        <v>1</v>
      </c>
    </row>
    <row r="29" spans="1:31" x14ac:dyDescent="0.2">
      <c r="A29" t="s">
        <v>6</v>
      </c>
      <c r="B29" t="s">
        <v>45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O29" t="s">
        <v>14</v>
      </c>
      <c r="P29" t="s">
        <v>9</v>
      </c>
      <c r="R29">
        <v>0</v>
      </c>
      <c r="S29">
        <v>1</v>
      </c>
      <c r="T29">
        <v>1</v>
      </c>
      <c r="U29">
        <v>5325</v>
      </c>
      <c r="V29">
        <v>5325</v>
      </c>
      <c r="W29">
        <v>6017.25</v>
      </c>
      <c r="X29">
        <v>549.6</v>
      </c>
      <c r="Y29" t="str">
        <f t="shared" si="0"/>
        <v>Door (General) Install</v>
      </c>
      <c r="Z29">
        <v>5</v>
      </c>
    </row>
    <row r="30" spans="1:31" x14ac:dyDescent="0.2">
      <c r="A30" t="s">
        <v>6</v>
      </c>
      <c r="B30" t="s">
        <v>127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 t="s">
        <v>175</v>
      </c>
      <c r="O30" t="s">
        <v>38</v>
      </c>
      <c r="P30" t="s">
        <v>9</v>
      </c>
      <c r="Q30" t="s">
        <v>12</v>
      </c>
      <c r="R30">
        <v>0</v>
      </c>
      <c r="S30">
        <v>0</v>
      </c>
      <c r="T30">
        <v>1</v>
      </c>
      <c r="U30">
        <v>5150</v>
      </c>
      <c r="V30">
        <v>5150</v>
      </c>
      <c r="W30">
        <v>5819.5</v>
      </c>
      <c r="X30">
        <v>218</v>
      </c>
      <c r="Y30" t="str">
        <f t="shared" si="0"/>
        <v>Door (General) Supply &amp; Install</v>
      </c>
      <c r="Z30">
        <v>2</v>
      </c>
    </row>
    <row r="31" spans="1:31" x14ac:dyDescent="0.2">
      <c r="A31" t="s">
        <v>6</v>
      </c>
      <c r="B31" t="s">
        <v>176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O31" t="s">
        <v>38</v>
      </c>
      <c r="P31" t="s">
        <v>9</v>
      </c>
      <c r="Q31" t="s">
        <v>12</v>
      </c>
      <c r="R31">
        <v>0</v>
      </c>
      <c r="S31">
        <v>0</v>
      </c>
      <c r="T31">
        <v>1</v>
      </c>
      <c r="U31">
        <v>5120</v>
      </c>
      <c r="V31">
        <v>5120</v>
      </c>
      <c r="W31">
        <v>5785.6</v>
      </c>
      <c r="X31">
        <v>137</v>
      </c>
      <c r="Y31" t="str">
        <f t="shared" si="0"/>
        <v>Door (General) Supply &amp; Install</v>
      </c>
      <c r="Z31">
        <v>1</v>
      </c>
    </row>
    <row r="32" spans="1:31" x14ac:dyDescent="0.2">
      <c r="A32" t="s">
        <v>10</v>
      </c>
      <c r="B32" t="s">
        <v>177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O32" t="s">
        <v>14</v>
      </c>
      <c r="P32" t="s">
        <v>9</v>
      </c>
      <c r="R32">
        <v>0</v>
      </c>
      <c r="S32">
        <v>1</v>
      </c>
      <c r="T32">
        <v>1</v>
      </c>
      <c r="U32">
        <v>5000</v>
      </c>
      <c r="V32">
        <v>5000</v>
      </c>
      <c r="W32">
        <v>5650</v>
      </c>
      <c r="X32">
        <v>51.8</v>
      </c>
      <c r="Y32" t="str">
        <f t="shared" si="0"/>
        <v>Door (General) Install</v>
      </c>
      <c r="Z32">
        <v>0</v>
      </c>
    </row>
    <row r="33" spans="1:26" x14ac:dyDescent="0.2">
      <c r="A33" t="s">
        <v>6</v>
      </c>
      <c r="B33" t="s">
        <v>177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178</v>
      </c>
      <c r="O33" t="s">
        <v>38</v>
      </c>
      <c r="P33" t="s">
        <v>9</v>
      </c>
      <c r="R33">
        <v>0</v>
      </c>
      <c r="S33">
        <v>0</v>
      </c>
      <c r="T33">
        <v>1</v>
      </c>
      <c r="U33">
        <v>4950</v>
      </c>
      <c r="V33">
        <v>4950</v>
      </c>
      <c r="W33">
        <v>5593.5</v>
      </c>
      <c r="X33">
        <v>51.62</v>
      </c>
      <c r="Y33" t="str">
        <f t="shared" si="0"/>
        <v>Door (General) Supply &amp; Install</v>
      </c>
      <c r="Z33">
        <v>0</v>
      </c>
    </row>
    <row r="34" spans="1:26" x14ac:dyDescent="0.2">
      <c r="A34" t="s">
        <v>6</v>
      </c>
      <c r="B34" t="s">
        <v>103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O34" t="s">
        <v>14</v>
      </c>
      <c r="P34" t="s">
        <v>9</v>
      </c>
      <c r="R34">
        <v>0</v>
      </c>
      <c r="S34">
        <v>1</v>
      </c>
      <c r="T34">
        <v>2</v>
      </c>
      <c r="U34">
        <v>4855</v>
      </c>
      <c r="V34">
        <v>9710</v>
      </c>
      <c r="W34">
        <v>10972.3</v>
      </c>
      <c r="X34">
        <v>116</v>
      </c>
      <c r="Y34" t="str">
        <f t="shared" si="0"/>
        <v>Door (General) Install</v>
      </c>
      <c r="Z34">
        <v>1</v>
      </c>
    </row>
    <row r="35" spans="1:26" x14ac:dyDescent="0.2">
      <c r="A35" t="s">
        <v>10</v>
      </c>
      <c r="B35" t="s">
        <v>160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O35" t="s">
        <v>14</v>
      </c>
      <c r="P35" t="s">
        <v>9</v>
      </c>
      <c r="R35">
        <v>0</v>
      </c>
      <c r="S35">
        <v>1</v>
      </c>
      <c r="T35">
        <v>1</v>
      </c>
      <c r="U35">
        <v>4750</v>
      </c>
      <c r="V35">
        <v>4750</v>
      </c>
      <c r="W35">
        <v>5367.5</v>
      </c>
      <c r="X35">
        <v>145.54</v>
      </c>
      <c r="Y35" t="str">
        <f t="shared" si="0"/>
        <v>Door (General) Install</v>
      </c>
      <c r="Z35">
        <v>1</v>
      </c>
    </row>
    <row r="36" spans="1:26" x14ac:dyDescent="0.2">
      <c r="A36" t="s">
        <v>6</v>
      </c>
      <c r="B36" t="s">
        <v>139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 t="s">
        <v>179</v>
      </c>
      <c r="O36" t="s">
        <v>38</v>
      </c>
      <c r="P36" t="s">
        <v>9</v>
      </c>
      <c r="R36">
        <v>0</v>
      </c>
      <c r="S36">
        <v>0</v>
      </c>
      <c r="T36">
        <v>3</v>
      </c>
      <c r="U36">
        <v>4650</v>
      </c>
      <c r="V36">
        <v>13950</v>
      </c>
      <c r="W36">
        <v>15763.5</v>
      </c>
      <c r="X36">
        <v>401.57</v>
      </c>
      <c r="Y36" t="str">
        <f t="shared" si="0"/>
        <v>Door (General) Supply &amp; Install</v>
      </c>
      <c r="Z36">
        <v>4</v>
      </c>
    </row>
    <row r="37" spans="1:26" x14ac:dyDescent="0.2">
      <c r="A37" t="s">
        <v>6</v>
      </c>
      <c r="B37" t="s">
        <v>63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O37" t="s">
        <v>14</v>
      </c>
      <c r="P37" t="s">
        <v>9</v>
      </c>
      <c r="R37">
        <v>0</v>
      </c>
      <c r="S37">
        <v>1</v>
      </c>
      <c r="T37">
        <v>1</v>
      </c>
      <c r="U37">
        <v>4600</v>
      </c>
      <c r="V37">
        <v>4600</v>
      </c>
      <c r="W37">
        <v>5198</v>
      </c>
      <c r="X37">
        <v>68.14</v>
      </c>
      <c r="Y37" t="str">
        <f t="shared" si="0"/>
        <v>Door (General) Install</v>
      </c>
      <c r="Z37">
        <v>0</v>
      </c>
    </row>
    <row r="38" spans="1:26" x14ac:dyDescent="0.2">
      <c r="A38" t="s">
        <v>42</v>
      </c>
      <c r="B38" t="s">
        <v>137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 t="s">
        <v>180</v>
      </c>
      <c r="O38" t="s">
        <v>49</v>
      </c>
      <c r="P38" t="s">
        <v>9</v>
      </c>
      <c r="R38">
        <v>0</v>
      </c>
      <c r="S38">
        <v>0</v>
      </c>
      <c r="T38">
        <v>2</v>
      </c>
      <c r="U38">
        <v>8560</v>
      </c>
      <c r="V38">
        <v>8560</v>
      </c>
      <c r="W38">
        <v>9672.7999999999993</v>
      </c>
      <c r="X38">
        <v>338.24</v>
      </c>
      <c r="Z38">
        <v>3</v>
      </c>
    </row>
    <row r="39" spans="1:26" x14ac:dyDescent="0.2">
      <c r="A39" t="s">
        <v>42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O39" t="s">
        <v>14</v>
      </c>
      <c r="P39" t="s">
        <v>9</v>
      </c>
      <c r="Q39" t="s">
        <v>12</v>
      </c>
      <c r="R39">
        <v>0</v>
      </c>
      <c r="S39">
        <v>1</v>
      </c>
      <c r="T39">
        <v>2</v>
      </c>
      <c r="U39">
        <v>8531</v>
      </c>
      <c r="V39">
        <v>8531</v>
      </c>
      <c r="W39">
        <v>9640.0300000000007</v>
      </c>
      <c r="X39">
        <v>286.95</v>
      </c>
      <c r="Y39" t="str">
        <f t="shared" si="0"/>
        <v>Door (General) Install</v>
      </c>
      <c r="Z39">
        <v>2</v>
      </c>
    </row>
    <row r="40" spans="1:26" x14ac:dyDescent="0.2">
      <c r="A40" t="s">
        <v>6</v>
      </c>
      <c r="B40" t="s">
        <v>157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O40" t="s">
        <v>14</v>
      </c>
      <c r="P40" t="s">
        <v>9</v>
      </c>
      <c r="Q40" t="s">
        <v>12</v>
      </c>
      <c r="R40">
        <v>0</v>
      </c>
      <c r="S40">
        <v>1</v>
      </c>
      <c r="T40">
        <v>1</v>
      </c>
      <c r="U40">
        <v>4200</v>
      </c>
      <c r="V40">
        <v>4200</v>
      </c>
      <c r="W40">
        <v>4746</v>
      </c>
      <c r="X40">
        <v>57.73</v>
      </c>
      <c r="Y40" t="str">
        <f t="shared" si="0"/>
        <v>Door (General) Install</v>
      </c>
      <c r="Z40">
        <v>0</v>
      </c>
    </row>
    <row r="41" spans="1:26" x14ac:dyDescent="0.2">
      <c r="A41" t="s">
        <v>6</v>
      </c>
      <c r="B41" t="s">
        <v>181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O41" t="s">
        <v>14</v>
      </c>
      <c r="P41" t="s">
        <v>9</v>
      </c>
      <c r="R41">
        <v>0</v>
      </c>
      <c r="S41">
        <v>1</v>
      </c>
      <c r="T41">
        <v>1</v>
      </c>
      <c r="U41">
        <v>4200</v>
      </c>
      <c r="V41">
        <v>4200</v>
      </c>
      <c r="W41">
        <v>4746</v>
      </c>
      <c r="X41">
        <v>138</v>
      </c>
      <c r="Y41" t="str">
        <f t="shared" si="0"/>
        <v>Door (General) Install</v>
      </c>
      <c r="Z41">
        <v>1</v>
      </c>
    </row>
    <row r="42" spans="1:26" x14ac:dyDescent="0.2">
      <c r="A42" t="s">
        <v>6</v>
      </c>
      <c r="B42" t="s">
        <v>34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O42" t="s">
        <v>8</v>
      </c>
      <c r="P42" t="s">
        <v>9</v>
      </c>
      <c r="R42">
        <v>0</v>
      </c>
      <c r="S42">
        <v>0</v>
      </c>
      <c r="T42">
        <v>8</v>
      </c>
      <c r="U42">
        <v>33100</v>
      </c>
      <c r="V42">
        <v>33100</v>
      </c>
      <c r="W42">
        <v>37403</v>
      </c>
      <c r="X42">
        <v>20.399999999999999</v>
      </c>
      <c r="Z42">
        <v>0</v>
      </c>
    </row>
    <row r="43" spans="1:26" x14ac:dyDescent="0.2">
      <c r="A43" t="s">
        <v>6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 t="s">
        <v>178</v>
      </c>
      <c r="O43" t="s">
        <v>38</v>
      </c>
      <c r="P43" t="s">
        <v>9</v>
      </c>
      <c r="R43">
        <v>0</v>
      </c>
      <c r="S43">
        <v>0</v>
      </c>
      <c r="T43">
        <v>1</v>
      </c>
      <c r="U43">
        <v>4125</v>
      </c>
      <c r="V43">
        <v>4125</v>
      </c>
      <c r="W43">
        <v>4661.25</v>
      </c>
      <c r="X43">
        <v>175</v>
      </c>
      <c r="Y43" t="str">
        <f t="shared" si="0"/>
        <v>Door (General) Supply &amp; Install</v>
      </c>
      <c r="Z43">
        <v>1</v>
      </c>
    </row>
    <row r="44" spans="1:26" x14ac:dyDescent="0.2">
      <c r="A44" t="s">
        <v>42</v>
      </c>
      <c r="B44" t="s">
        <v>121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 t="s">
        <v>182</v>
      </c>
      <c r="O44" t="s">
        <v>49</v>
      </c>
      <c r="P44" t="s">
        <v>9</v>
      </c>
      <c r="R44">
        <v>0</v>
      </c>
      <c r="S44">
        <v>0</v>
      </c>
      <c r="T44">
        <v>1</v>
      </c>
      <c r="U44">
        <v>4100</v>
      </c>
      <c r="V44">
        <v>4100</v>
      </c>
      <c r="W44">
        <v>4633</v>
      </c>
      <c r="X44">
        <v>169</v>
      </c>
      <c r="Z44">
        <v>1</v>
      </c>
    </row>
    <row r="45" spans="1:26" x14ac:dyDescent="0.2">
      <c r="A45" t="s">
        <v>6</v>
      </c>
      <c r="B45" t="s">
        <v>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O45" t="s">
        <v>14</v>
      </c>
      <c r="P45" t="s">
        <v>9</v>
      </c>
      <c r="R45">
        <v>0</v>
      </c>
      <c r="S45">
        <v>1</v>
      </c>
      <c r="T45">
        <v>1</v>
      </c>
      <c r="U45">
        <v>4100</v>
      </c>
      <c r="V45">
        <v>4100</v>
      </c>
      <c r="W45">
        <v>4633</v>
      </c>
      <c r="X45">
        <v>178.84</v>
      </c>
      <c r="Y45" t="str">
        <f t="shared" si="0"/>
        <v>Door (General) Install</v>
      </c>
      <c r="Z45">
        <v>1</v>
      </c>
    </row>
    <row r="46" spans="1:26" x14ac:dyDescent="0.2">
      <c r="A46" t="s">
        <v>6</v>
      </c>
      <c r="B46" t="s">
        <v>86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O46" t="s">
        <v>14</v>
      </c>
      <c r="P46" t="s">
        <v>9</v>
      </c>
      <c r="R46">
        <v>0</v>
      </c>
      <c r="S46">
        <v>1</v>
      </c>
      <c r="T46">
        <v>1</v>
      </c>
      <c r="U46">
        <v>4100</v>
      </c>
      <c r="V46">
        <v>4100</v>
      </c>
      <c r="W46">
        <v>4633</v>
      </c>
      <c r="X46">
        <v>690.81</v>
      </c>
      <c r="Y46" t="str">
        <f t="shared" si="0"/>
        <v>Door (General) Install</v>
      </c>
      <c r="Z46">
        <v>5</v>
      </c>
    </row>
    <row r="47" spans="1:26" x14ac:dyDescent="0.2">
      <c r="A47" t="s">
        <v>6</v>
      </c>
      <c r="B47" t="s">
        <v>143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 t="s">
        <v>180</v>
      </c>
      <c r="O47" t="s">
        <v>38</v>
      </c>
      <c r="P47" t="s">
        <v>9</v>
      </c>
      <c r="R47">
        <v>0</v>
      </c>
      <c r="S47">
        <v>0</v>
      </c>
      <c r="T47">
        <v>1</v>
      </c>
      <c r="U47">
        <v>4050</v>
      </c>
      <c r="V47">
        <v>4050</v>
      </c>
      <c r="W47">
        <v>4576.5</v>
      </c>
      <c r="X47">
        <v>502</v>
      </c>
      <c r="Y47" t="str">
        <f t="shared" si="0"/>
        <v>Door (General) Supply &amp; Install</v>
      </c>
      <c r="Z47">
        <v>5</v>
      </c>
    </row>
    <row r="48" spans="1:26" x14ac:dyDescent="0.2">
      <c r="A48" t="s">
        <v>10</v>
      </c>
      <c r="B48" t="s">
        <v>40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O48" t="s">
        <v>14</v>
      </c>
      <c r="P48" t="s">
        <v>25</v>
      </c>
      <c r="R48">
        <v>0</v>
      </c>
      <c r="S48">
        <v>1</v>
      </c>
      <c r="T48">
        <v>1</v>
      </c>
      <c r="U48">
        <v>4000</v>
      </c>
      <c r="V48">
        <v>4000</v>
      </c>
      <c r="W48">
        <v>4520</v>
      </c>
      <c r="X48">
        <v>22.13</v>
      </c>
      <c r="Y48" t="str">
        <f t="shared" si="0"/>
        <v>High Speed Door Install</v>
      </c>
      <c r="Z48">
        <v>0</v>
      </c>
    </row>
    <row r="49" spans="1:26" x14ac:dyDescent="0.2">
      <c r="A49" t="s">
        <v>42</v>
      </c>
      <c r="B49" t="s">
        <v>183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O49" t="s">
        <v>38</v>
      </c>
      <c r="P49" t="s">
        <v>9</v>
      </c>
      <c r="R49">
        <v>0</v>
      </c>
      <c r="S49">
        <v>0</v>
      </c>
      <c r="T49">
        <v>1</v>
      </c>
      <c r="U49">
        <v>3960</v>
      </c>
      <c r="V49">
        <v>3960</v>
      </c>
      <c r="W49">
        <v>4474.8</v>
      </c>
      <c r="X49">
        <v>71.53</v>
      </c>
      <c r="Y49" t="str">
        <f t="shared" si="0"/>
        <v>Door (General) Supply &amp; Install</v>
      </c>
      <c r="Z49">
        <v>0</v>
      </c>
    </row>
    <row r="50" spans="1:26" x14ac:dyDescent="0.2">
      <c r="A50" t="s">
        <v>10</v>
      </c>
      <c r="B50" t="s">
        <v>184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O50" t="s">
        <v>38</v>
      </c>
      <c r="P50" t="s">
        <v>25</v>
      </c>
      <c r="R50">
        <v>0</v>
      </c>
      <c r="S50">
        <v>0</v>
      </c>
      <c r="T50">
        <v>2</v>
      </c>
      <c r="U50">
        <v>7700</v>
      </c>
      <c r="V50">
        <v>7700</v>
      </c>
      <c r="W50">
        <v>8701</v>
      </c>
      <c r="X50">
        <v>42.66</v>
      </c>
      <c r="Y50" t="str">
        <f t="shared" si="0"/>
        <v>High Speed Door Supply &amp; Install</v>
      </c>
      <c r="Z50">
        <v>0</v>
      </c>
    </row>
    <row r="51" spans="1:26" x14ac:dyDescent="0.2">
      <c r="A51" t="s">
        <v>6</v>
      </c>
      <c r="B51" t="s">
        <v>18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 t="s">
        <v>179</v>
      </c>
      <c r="O51" t="s">
        <v>38</v>
      </c>
      <c r="P51" t="s">
        <v>9</v>
      </c>
      <c r="R51">
        <v>0</v>
      </c>
      <c r="S51">
        <v>0</v>
      </c>
      <c r="T51">
        <v>1</v>
      </c>
      <c r="U51">
        <v>3820</v>
      </c>
      <c r="V51">
        <v>3820</v>
      </c>
      <c r="W51">
        <v>4316.6000000000004</v>
      </c>
      <c r="X51">
        <v>412</v>
      </c>
      <c r="Y51" t="str">
        <f t="shared" si="0"/>
        <v>Door (General) Supply &amp; Install</v>
      </c>
      <c r="Z51">
        <v>4</v>
      </c>
    </row>
    <row r="52" spans="1:26" x14ac:dyDescent="0.2">
      <c r="A52" t="s">
        <v>6</v>
      </c>
      <c r="B52" t="s">
        <v>128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O52" t="s">
        <v>14</v>
      </c>
      <c r="P52" t="s">
        <v>9</v>
      </c>
      <c r="R52">
        <v>0</v>
      </c>
      <c r="S52">
        <v>1</v>
      </c>
      <c r="T52">
        <v>1</v>
      </c>
      <c r="U52">
        <v>3750</v>
      </c>
      <c r="V52">
        <v>3750</v>
      </c>
      <c r="W52">
        <v>4237.5</v>
      </c>
      <c r="X52">
        <v>254</v>
      </c>
      <c r="Y52" t="str">
        <f t="shared" si="0"/>
        <v>Door (General) Install</v>
      </c>
      <c r="Z52">
        <v>2</v>
      </c>
    </row>
    <row r="53" spans="1:26" x14ac:dyDescent="0.2">
      <c r="A53" t="s">
        <v>10</v>
      </c>
      <c r="B53" t="s">
        <v>162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O53" t="s">
        <v>14</v>
      </c>
      <c r="P53" t="s">
        <v>9</v>
      </c>
      <c r="R53">
        <v>0</v>
      </c>
      <c r="S53">
        <v>1</v>
      </c>
      <c r="T53">
        <v>1</v>
      </c>
      <c r="U53">
        <v>3750</v>
      </c>
      <c r="V53">
        <v>3750</v>
      </c>
      <c r="W53">
        <v>4237.5</v>
      </c>
      <c r="X53">
        <v>266.81</v>
      </c>
      <c r="Y53" t="str">
        <f t="shared" si="0"/>
        <v>Door (General) Install</v>
      </c>
      <c r="Z53">
        <v>2</v>
      </c>
    </row>
    <row r="54" spans="1:26" x14ac:dyDescent="0.2">
      <c r="A54" t="s">
        <v>6</v>
      </c>
      <c r="B54" t="s">
        <v>103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O54" t="s">
        <v>14</v>
      </c>
      <c r="P54" t="s">
        <v>9</v>
      </c>
      <c r="R54">
        <v>0</v>
      </c>
      <c r="S54">
        <v>1</v>
      </c>
      <c r="T54">
        <v>2</v>
      </c>
      <c r="U54">
        <v>3630</v>
      </c>
      <c r="V54">
        <v>7260</v>
      </c>
      <c r="W54">
        <v>8203.7999999999993</v>
      </c>
      <c r="X54">
        <v>119.96</v>
      </c>
      <c r="Y54" t="str">
        <f t="shared" si="0"/>
        <v>Door (General) Install</v>
      </c>
      <c r="Z54">
        <v>1</v>
      </c>
    </row>
    <row r="55" spans="1:26" x14ac:dyDescent="0.2">
      <c r="A55" t="s">
        <v>6</v>
      </c>
      <c r="B55" t="s">
        <v>185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O55" t="s">
        <v>14</v>
      </c>
      <c r="P55" t="s">
        <v>9</v>
      </c>
      <c r="R55">
        <v>0</v>
      </c>
      <c r="S55">
        <v>1</v>
      </c>
      <c r="T55">
        <v>1</v>
      </c>
      <c r="U55">
        <v>3600</v>
      </c>
      <c r="V55">
        <v>3600</v>
      </c>
      <c r="W55">
        <v>4068</v>
      </c>
      <c r="X55">
        <v>58.01</v>
      </c>
      <c r="Y55" t="str">
        <f t="shared" si="0"/>
        <v>Door (General) Install</v>
      </c>
      <c r="Z55">
        <v>0</v>
      </c>
    </row>
    <row r="56" spans="1:26" x14ac:dyDescent="0.2">
      <c r="A56" t="s">
        <v>10</v>
      </c>
      <c r="B56" t="s">
        <v>77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0</v>
      </c>
      <c r="O56" t="s">
        <v>14</v>
      </c>
      <c r="P56" t="s">
        <v>9</v>
      </c>
      <c r="R56">
        <v>0</v>
      </c>
      <c r="S56">
        <v>1</v>
      </c>
      <c r="T56">
        <v>1</v>
      </c>
      <c r="U56">
        <v>100</v>
      </c>
      <c r="V56">
        <v>3600</v>
      </c>
      <c r="W56">
        <v>4068</v>
      </c>
      <c r="X56">
        <v>109</v>
      </c>
      <c r="Y56" t="str">
        <f t="shared" si="0"/>
        <v>Door (General) Install</v>
      </c>
      <c r="Z56">
        <v>1</v>
      </c>
    </row>
    <row r="57" spans="1:26" x14ac:dyDescent="0.2">
      <c r="A57" t="s">
        <v>6</v>
      </c>
      <c r="B57" t="s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 t="s">
        <v>186</v>
      </c>
      <c r="O57" t="s">
        <v>14</v>
      </c>
      <c r="P57" t="s">
        <v>9</v>
      </c>
      <c r="R57">
        <v>0</v>
      </c>
      <c r="S57">
        <v>1</v>
      </c>
      <c r="T57">
        <v>1</v>
      </c>
      <c r="U57">
        <v>3550</v>
      </c>
      <c r="V57">
        <v>3550</v>
      </c>
      <c r="W57">
        <v>4011.5</v>
      </c>
      <c r="X57">
        <v>231.4</v>
      </c>
      <c r="Y57" t="str">
        <f t="shared" si="0"/>
        <v>Door (General) Install</v>
      </c>
      <c r="Z57">
        <v>2</v>
      </c>
    </row>
    <row r="58" spans="1:26" x14ac:dyDescent="0.2">
      <c r="A58" t="s">
        <v>6</v>
      </c>
      <c r="B58" t="s">
        <v>187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O58" t="s">
        <v>38</v>
      </c>
      <c r="P58" t="s">
        <v>9</v>
      </c>
      <c r="Q58" t="s">
        <v>12</v>
      </c>
      <c r="R58">
        <v>0</v>
      </c>
      <c r="S58">
        <v>0</v>
      </c>
      <c r="T58">
        <v>1</v>
      </c>
      <c r="U58">
        <v>3525</v>
      </c>
      <c r="V58">
        <v>3525</v>
      </c>
      <c r="W58">
        <v>3983.25</v>
      </c>
      <c r="X58">
        <v>204</v>
      </c>
      <c r="Y58" t="str">
        <f t="shared" si="0"/>
        <v>Door (General) Supply &amp; Install</v>
      </c>
      <c r="Z58">
        <v>2</v>
      </c>
    </row>
    <row r="59" spans="1:26" x14ac:dyDescent="0.2">
      <c r="A59" t="s">
        <v>6</v>
      </c>
      <c r="B59" t="s">
        <v>45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 t="s">
        <v>188</v>
      </c>
      <c r="O59" t="s">
        <v>8</v>
      </c>
      <c r="P59" t="s">
        <v>9</v>
      </c>
      <c r="R59">
        <v>0</v>
      </c>
      <c r="S59">
        <v>0</v>
      </c>
      <c r="T59">
        <v>1</v>
      </c>
      <c r="U59">
        <v>3500</v>
      </c>
      <c r="V59">
        <v>3500</v>
      </c>
      <c r="W59">
        <v>3955</v>
      </c>
      <c r="X59">
        <v>45.1</v>
      </c>
      <c r="Z59">
        <v>0</v>
      </c>
    </row>
    <row r="60" spans="1:26" x14ac:dyDescent="0.2">
      <c r="A60" t="s">
        <v>6</v>
      </c>
      <c r="B60" t="s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 t="s">
        <v>169</v>
      </c>
      <c r="O60" t="s">
        <v>38</v>
      </c>
      <c r="P60" t="s">
        <v>9</v>
      </c>
      <c r="R60">
        <v>0</v>
      </c>
      <c r="S60">
        <v>0</v>
      </c>
      <c r="T60">
        <v>2</v>
      </c>
      <c r="U60">
        <v>3480</v>
      </c>
      <c r="V60">
        <v>6960</v>
      </c>
      <c r="W60">
        <v>7864.8</v>
      </c>
      <c r="X60">
        <v>412</v>
      </c>
      <c r="Y60" t="str">
        <f t="shared" si="0"/>
        <v>Door (General) Supply &amp; Install</v>
      </c>
      <c r="Z60">
        <v>4</v>
      </c>
    </row>
    <row r="61" spans="1:26" x14ac:dyDescent="0.2">
      <c r="A61" t="s">
        <v>6</v>
      </c>
      <c r="B61" t="s">
        <v>105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 t="s">
        <v>189</v>
      </c>
      <c r="O61" t="s">
        <v>38</v>
      </c>
      <c r="P61" t="s">
        <v>9</v>
      </c>
      <c r="R61">
        <v>0</v>
      </c>
      <c r="S61">
        <v>0</v>
      </c>
      <c r="T61">
        <v>1</v>
      </c>
      <c r="U61">
        <v>3450</v>
      </c>
      <c r="V61">
        <v>3450</v>
      </c>
      <c r="W61">
        <v>3898.5</v>
      </c>
      <c r="X61">
        <v>119.59</v>
      </c>
      <c r="Y61" t="str">
        <f t="shared" si="0"/>
        <v>Door (General) Supply &amp; Install</v>
      </c>
      <c r="Z61">
        <v>1</v>
      </c>
    </row>
    <row r="62" spans="1:26" x14ac:dyDescent="0.2">
      <c r="A62" t="s">
        <v>6</v>
      </c>
      <c r="B62" t="s">
        <v>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O62" t="s">
        <v>14</v>
      </c>
      <c r="P62" t="s">
        <v>9</v>
      </c>
      <c r="R62">
        <v>0</v>
      </c>
      <c r="S62">
        <v>1</v>
      </c>
      <c r="T62">
        <v>2</v>
      </c>
      <c r="U62">
        <v>3375</v>
      </c>
      <c r="V62">
        <v>6750</v>
      </c>
      <c r="W62">
        <v>7627.5</v>
      </c>
      <c r="X62">
        <v>160</v>
      </c>
      <c r="Y62" t="str">
        <f t="shared" si="0"/>
        <v>Door (General) Install</v>
      </c>
      <c r="Z62">
        <v>1</v>
      </c>
    </row>
    <row r="63" spans="1:26" x14ac:dyDescent="0.2">
      <c r="A63" t="s">
        <v>6</v>
      </c>
      <c r="B63" t="s">
        <v>109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 t="s">
        <v>190</v>
      </c>
      <c r="O63" t="s">
        <v>38</v>
      </c>
      <c r="P63" t="s">
        <v>9</v>
      </c>
      <c r="R63">
        <v>0</v>
      </c>
      <c r="S63">
        <v>0</v>
      </c>
      <c r="T63">
        <v>2</v>
      </c>
      <c r="U63">
        <v>6725</v>
      </c>
      <c r="V63">
        <v>6725</v>
      </c>
      <c r="W63">
        <v>7599.25</v>
      </c>
      <c r="X63">
        <v>232</v>
      </c>
      <c r="Y63" t="str">
        <f t="shared" si="0"/>
        <v>Door (General) Supply &amp; Install</v>
      </c>
      <c r="Z63">
        <v>2</v>
      </c>
    </row>
    <row r="64" spans="1:26" x14ac:dyDescent="0.2">
      <c r="A64" t="s">
        <v>42</v>
      </c>
      <c r="B64" t="s">
        <v>120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O64" t="s">
        <v>14</v>
      </c>
      <c r="P64" t="s">
        <v>9</v>
      </c>
      <c r="R64">
        <v>0</v>
      </c>
      <c r="S64">
        <v>1</v>
      </c>
      <c r="T64">
        <v>6</v>
      </c>
      <c r="U64">
        <v>20000</v>
      </c>
      <c r="V64">
        <v>20000</v>
      </c>
      <c r="W64">
        <v>22600</v>
      </c>
      <c r="X64">
        <v>156.01</v>
      </c>
      <c r="Y64" t="str">
        <f t="shared" si="0"/>
        <v>Door (General) Install</v>
      </c>
      <c r="Z64">
        <v>1</v>
      </c>
    </row>
    <row r="65" spans="1:26" x14ac:dyDescent="0.2">
      <c r="A65" t="s">
        <v>10</v>
      </c>
      <c r="B65" t="s">
        <v>54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O65" t="s">
        <v>14</v>
      </c>
      <c r="P65" t="s">
        <v>9</v>
      </c>
      <c r="R65">
        <v>0</v>
      </c>
      <c r="S65">
        <v>1</v>
      </c>
      <c r="T65">
        <v>6</v>
      </c>
      <c r="U65">
        <v>21200</v>
      </c>
      <c r="V65">
        <v>21200</v>
      </c>
      <c r="W65">
        <v>23956</v>
      </c>
      <c r="X65">
        <v>167.35</v>
      </c>
      <c r="Y65" t="str">
        <f t="shared" si="0"/>
        <v>Door (General) Install</v>
      </c>
      <c r="Z65">
        <v>1</v>
      </c>
    </row>
    <row r="66" spans="1:26" x14ac:dyDescent="0.2">
      <c r="A66" t="s">
        <v>6</v>
      </c>
      <c r="B66" t="s">
        <v>191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 t="s">
        <v>192</v>
      </c>
      <c r="O66" t="s">
        <v>38</v>
      </c>
      <c r="P66" t="s">
        <v>9</v>
      </c>
      <c r="R66">
        <v>0</v>
      </c>
      <c r="S66">
        <v>0</v>
      </c>
      <c r="T66">
        <v>1</v>
      </c>
      <c r="U66">
        <v>3280</v>
      </c>
      <c r="V66">
        <v>3280</v>
      </c>
      <c r="W66">
        <v>3706.4</v>
      </c>
      <c r="X66">
        <v>468.78</v>
      </c>
      <c r="Y66" t="str">
        <f t="shared" ref="Y66:Y129" si="1">_xlfn.CONCAT($P66&amp;" "&amp;$O66)</f>
        <v>Door (General) Supply &amp; Install</v>
      </c>
      <c r="Z66">
        <v>4</v>
      </c>
    </row>
    <row r="67" spans="1:26" x14ac:dyDescent="0.2">
      <c r="A67" t="s">
        <v>42</v>
      </c>
      <c r="B67" t="s">
        <v>55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O67" t="s">
        <v>38</v>
      </c>
      <c r="P67" t="s">
        <v>9</v>
      </c>
      <c r="R67">
        <v>0</v>
      </c>
      <c r="S67">
        <v>0</v>
      </c>
      <c r="T67">
        <v>1</v>
      </c>
      <c r="U67">
        <v>3270</v>
      </c>
      <c r="V67">
        <v>3270</v>
      </c>
      <c r="W67">
        <v>3695.1</v>
      </c>
      <c r="X67">
        <v>34.03</v>
      </c>
      <c r="Y67" t="str">
        <f t="shared" si="1"/>
        <v>Door (General) Supply &amp; Install</v>
      </c>
      <c r="Z67">
        <v>0</v>
      </c>
    </row>
    <row r="68" spans="1:26" x14ac:dyDescent="0.2">
      <c r="A68" t="s">
        <v>10</v>
      </c>
      <c r="B68" t="s">
        <v>63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O68" t="s">
        <v>14</v>
      </c>
      <c r="P68" t="s">
        <v>9</v>
      </c>
      <c r="R68">
        <v>0</v>
      </c>
      <c r="S68">
        <v>1</v>
      </c>
      <c r="T68">
        <v>1</v>
      </c>
      <c r="U68">
        <v>3268</v>
      </c>
      <c r="V68">
        <v>3268</v>
      </c>
      <c r="W68">
        <v>3692.84</v>
      </c>
      <c r="X68">
        <v>68.56</v>
      </c>
      <c r="Y68" t="str">
        <f t="shared" si="1"/>
        <v>Door (General) Install</v>
      </c>
      <c r="Z68">
        <v>0</v>
      </c>
    </row>
    <row r="69" spans="1:26" x14ac:dyDescent="0.2">
      <c r="A69" t="s">
        <v>6</v>
      </c>
      <c r="B69" t="s">
        <v>193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 t="s">
        <v>180</v>
      </c>
      <c r="O69" t="s">
        <v>38</v>
      </c>
      <c r="P69" t="s">
        <v>9</v>
      </c>
      <c r="R69">
        <v>0</v>
      </c>
      <c r="S69">
        <v>0</v>
      </c>
      <c r="T69">
        <v>2</v>
      </c>
      <c r="U69">
        <v>3240</v>
      </c>
      <c r="V69">
        <v>6480</v>
      </c>
      <c r="W69">
        <v>7322.4</v>
      </c>
      <c r="X69">
        <v>404.55</v>
      </c>
      <c r="Y69" t="str">
        <f t="shared" si="1"/>
        <v>Door (General) Supply &amp; Install</v>
      </c>
      <c r="Z69">
        <v>4</v>
      </c>
    </row>
    <row r="70" spans="1:26" x14ac:dyDescent="0.2">
      <c r="A70" t="s">
        <v>6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 t="s">
        <v>194</v>
      </c>
      <c r="O70" t="s">
        <v>14</v>
      </c>
      <c r="P70" t="s">
        <v>9</v>
      </c>
      <c r="R70">
        <v>0</v>
      </c>
      <c r="S70">
        <v>1</v>
      </c>
      <c r="T70">
        <v>1</v>
      </c>
      <c r="U70">
        <v>3220</v>
      </c>
      <c r="V70">
        <v>3220</v>
      </c>
      <c r="W70">
        <v>3638.6</v>
      </c>
      <c r="X70">
        <v>166.52</v>
      </c>
      <c r="Y70" t="str">
        <f t="shared" si="1"/>
        <v>Door (General) Install</v>
      </c>
      <c r="Z70">
        <v>1</v>
      </c>
    </row>
    <row r="71" spans="1:26" x14ac:dyDescent="0.2">
      <c r="A71" t="s">
        <v>6</v>
      </c>
      <c r="B71" t="s">
        <v>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O71" t="s">
        <v>14</v>
      </c>
      <c r="P71" t="s">
        <v>9</v>
      </c>
      <c r="R71">
        <v>0</v>
      </c>
      <c r="S71">
        <v>1</v>
      </c>
      <c r="T71">
        <v>1</v>
      </c>
      <c r="U71">
        <v>3200</v>
      </c>
      <c r="V71">
        <v>3200</v>
      </c>
      <c r="W71">
        <v>3616</v>
      </c>
      <c r="X71">
        <v>136.29</v>
      </c>
      <c r="Y71" t="str">
        <f t="shared" si="1"/>
        <v>Door (General) Install</v>
      </c>
      <c r="Z71">
        <v>1</v>
      </c>
    </row>
    <row r="72" spans="1:26" x14ac:dyDescent="0.2">
      <c r="A72" t="s">
        <v>6</v>
      </c>
      <c r="B72" t="s">
        <v>195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O72" t="s">
        <v>8</v>
      </c>
      <c r="P72" t="s">
        <v>9</v>
      </c>
      <c r="R72">
        <v>0</v>
      </c>
      <c r="S72">
        <v>0</v>
      </c>
      <c r="T72">
        <v>2</v>
      </c>
      <c r="U72">
        <v>6200</v>
      </c>
      <c r="V72">
        <v>6200</v>
      </c>
      <c r="W72">
        <v>7006</v>
      </c>
      <c r="X72">
        <v>83.94</v>
      </c>
      <c r="Z72">
        <v>0</v>
      </c>
    </row>
    <row r="73" spans="1:26" x14ac:dyDescent="0.2">
      <c r="A73" t="s">
        <v>6</v>
      </c>
      <c r="B73" t="s">
        <v>57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O73" t="s">
        <v>24</v>
      </c>
      <c r="P73" t="s">
        <v>9</v>
      </c>
      <c r="R73">
        <v>0</v>
      </c>
      <c r="S73">
        <v>0</v>
      </c>
      <c r="T73">
        <v>1</v>
      </c>
      <c r="U73">
        <v>3040</v>
      </c>
      <c r="V73">
        <v>3040</v>
      </c>
      <c r="W73">
        <v>3435.2</v>
      </c>
      <c r="X73">
        <v>63.41</v>
      </c>
      <c r="Z73">
        <v>0</v>
      </c>
    </row>
    <row r="74" spans="1:26" x14ac:dyDescent="0.2">
      <c r="A74" t="s">
        <v>6</v>
      </c>
      <c r="B74" t="s">
        <v>70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O74" t="s">
        <v>8</v>
      </c>
      <c r="P74" t="s">
        <v>9</v>
      </c>
      <c r="R74">
        <v>0</v>
      </c>
      <c r="S74">
        <v>0</v>
      </c>
      <c r="T74">
        <v>1</v>
      </c>
      <c r="U74">
        <v>3000</v>
      </c>
      <c r="V74">
        <v>3000</v>
      </c>
      <c r="W74">
        <v>3390</v>
      </c>
      <c r="X74">
        <v>139.80000000000001</v>
      </c>
      <c r="Z74">
        <v>1</v>
      </c>
    </row>
    <row r="75" spans="1:26" x14ac:dyDescent="0.2">
      <c r="A75" t="s">
        <v>6</v>
      </c>
      <c r="B75" t="s">
        <v>72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 t="s">
        <v>196</v>
      </c>
      <c r="O75" t="s">
        <v>38</v>
      </c>
      <c r="P75" t="s">
        <v>9</v>
      </c>
      <c r="R75">
        <v>0</v>
      </c>
      <c r="S75">
        <v>0</v>
      </c>
      <c r="T75">
        <v>1</v>
      </c>
      <c r="U75">
        <v>2860</v>
      </c>
      <c r="V75">
        <v>2860</v>
      </c>
      <c r="W75">
        <v>3231.8</v>
      </c>
      <c r="X75">
        <v>49.68</v>
      </c>
      <c r="Y75" t="str">
        <f t="shared" si="1"/>
        <v>Door (General) Supply &amp; Install</v>
      </c>
      <c r="Z75">
        <v>0</v>
      </c>
    </row>
    <row r="76" spans="1:26" x14ac:dyDescent="0.2">
      <c r="A76" t="s">
        <v>6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 t="s">
        <v>163</v>
      </c>
      <c r="O76" t="s">
        <v>49</v>
      </c>
      <c r="P76" t="s">
        <v>9</v>
      </c>
      <c r="R76">
        <v>0</v>
      </c>
      <c r="S76">
        <v>0</v>
      </c>
      <c r="T76">
        <v>2</v>
      </c>
      <c r="U76">
        <v>2820</v>
      </c>
      <c r="V76">
        <v>5640</v>
      </c>
      <c r="W76">
        <v>6373.2</v>
      </c>
      <c r="X76">
        <v>163</v>
      </c>
      <c r="Z76">
        <v>1</v>
      </c>
    </row>
    <row r="77" spans="1:26" x14ac:dyDescent="0.2">
      <c r="A77" t="s">
        <v>6</v>
      </c>
      <c r="B77" t="s">
        <v>20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O77" t="s">
        <v>8</v>
      </c>
      <c r="P77" t="s">
        <v>9</v>
      </c>
      <c r="R77">
        <v>0</v>
      </c>
      <c r="S77">
        <v>0</v>
      </c>
      <c r="T77">
        <v>1</v>
      </c>
      <c r="U77">
        <v>2800</v>
      </c>
      <c r="V77">
        <v>2800</v>
      </c>
      <c r="W77">
        <v>3164</v>
      </c>
      <c r="X77">
        <v>29</v>
      </c>
      <c r="Z77">
        <v>0</v>
      </c>
    </row>
    <row r="78" spans="1:26" x14ac:dyDescent="0.2">
      <c r="A78" t="s">
        <v>6</v>
      </c>
      <c r="B78" t="s">
        <v>168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O78" t="s">
        <v>14</v>
      </c>
      <c r="P78" t="s">
        <v>9</v>
      </c>
      <c r="R78">
        <v>0</v>
      </c>
      <c r="S78">
        <v>1</v>
      </c>
      <c r="T78">
        <v>1</v>
      </c>
      <c r="U78">
        <v>2790</v>
      </c>
      <c r="V78">
        <v>2790</v>
      </c>
      <c r="W78">
        <v>3152.7</v>
      </c>
      <c r="X78">
        <v>159</v>
      </c>
      <c r="Y78" t="str">
        <f t="shared" si="1"/>
        <v>Door (General) Install</v>
      </c>
      <c r="Z78">
        <v>1</v>
      </c>
    </row>
    <row r="79" spans="1:26" x14ac:dyDescent="0.2">
      <c r="A79" t="s">
        <v>10</v>
      </c>
      <c r="B79" t="s">
        <v>13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O79" t="s">
        <v>14</v>
      </c>
      <c r="P79" t="s">
        <v>15</v>
      </c>
      <c r="R79">
        <v>0</v>
      </c>
      <c r="S79">
        <v>1</v>
      </c>
      <c r="T79">
        <v>1</v>
      </c>
      <c r="U79">
        <v>2700</v>
      </c>
      <c r="V79">
        <v>2700</v>
      </c>
      <c r="W79">
        <v>3051</v>
      </c>
      <c r="X79">
        <v>8.76</v>
      </c>
      <c r="Y79" t="str">
        <f t="shared" si="1"/>
        <v>Other/Misc Install</v>
      </c>
      <c r="Z79">
        <v>0</v>
      </c>
    </row>
    <row r="80" spans="1:26" x14ac:dyDescent="0.2">
      <c r="A80" t="s">
        <v>6</v>
      </c>
      <c r="B80" t="s">
        <v>46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 t="s">
        <v>197</v>
      </c>
      <c r="O80" t="s">
        <v>38</v>
      </c>
      <c r="P80" t="s">
        <v>9</v>
      </c>
      <c r="R80">
        <v>0</v>
      </c>
      <c r="S80">
        <v>0</v>
      </c>
      <c r="T80">
        <v>1</v>
      </c>
      <c r="U80">
        <v>2690</v>
      </c>
      <c r="V80">
        <v>2690</v>
      </c>
      <c r="W80">
        <v>3039.7</v>
      </c>
      <c r="X80">
        <v>180.79</v>
      </c>
      <c r="Y80" t="str">
        <f t="shared" si="1"/>
        <v>Door (General) Supply &amp; Install</v>
      </c>
      <c r="Z80">
        <v>1</v>
      </c>
    </row>
    <row r="81" spans="1:26" x14ac:dyDescent="0.2">
      <c r="A81" t="s">
        <v>6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 t="s">
        <v>179</v>
      </c>
      <c r="O81" t="s">
        <v>38</v>
      </c>
      <c r="P81" t="s">
        <v>9</v>
      </c>
      <c r="R81">
        <v>0</v>
      </c>
      <c r="S81">
        <v>0</v>
      </c>
      <c r="T81">
        <v>1</v>
      </c>
      <c r="U81">
        <v>2640</v>
      </c>
      <c r="V81">
        <v>2640</v>
      </c>
      <c r="W81">
        <v>2983.2</v>
      </c>
      <c r="X81">
        <v>328.33</v>
      </c>
      <c r="Y81" t="str">
        <f t="shared" si="1"/>
        <v>Door (General) Supply &amp; Install</v>
      </c>
      <c r="Z81">
        <v>3</v>
      </c>
    </row>
    <row r="82" spans="1:26" x14ac:dyDescent="0.2">
      <c r="A82" t="s">
        <v>6</v>
      </c>
      <c r="B82" t="s">
        <v>78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O82" t="s">
        <v>14</v>
      </c>
      <c r="P82" t="s">
        <v>9</v>
      </c>
      <c r="R82">
        <v>0</v>
      </c>
      <c r="S82">
        <v>1</v>
      </c>
      <c r="T82">
        <v>1</v>
      </c>
      <c r="U82">
        <v>2620</v>
      </c>
      <c r="V82">
        <v>2620</v>
      </c>
      <c r="W82">
        <v>2960.6</v>
      </c>
      <c r="X82">
        <v>417.21</v>
      </c>
      <c r="Y82" t="str">
        <f t="shared" si="1"/>
        <v>Door (General) Install</v>
      </c>
      <c r="Z82">
        <v>4</v>
      </c>
    </row>
    <row r="83" spans="1:26" x14ac:dyDescent="0.2">
      <c r="A83" t="s">
        <v>6</v>
      </c>
      <c r="B83" t="s">
        <v>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O83" t="s">
        <v>14</v>
      </c>
      <c r="P83" t="s">
        <v>9</v>
      </c>
      <c r="R83">
        <v>0</v>
      </c>
      <c r="S83">
        <v>1</v>
      </c>
      <c r="T83">
        <v>1</v>
      </c>
      <c r="U83">
        <v>2600</v>
      </c>
      <c r="V83">
        <v>2600</v>
      </c>
      <c r="W83">
        <v>2938</v>
      </c>
      <c r="X83">
        <v>19.02</v>
      </c>
      <c r="Y83" t="str">
        <f t="shared" si="1"/>
        <v>Door (General) Install</v>
      </c>
      <c r="Z83">
        <v>0</v>
      </c>
    </row>
    <row r="84" spans="1:26" x14ac:dyDescent="0.2">
      <c r="A84" t="s">
        <v>6</v>
      </c>
      <c r="B84" t="s">
        <v>63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O84" t="s">
        <v>14</v>
      </c>
      <c r="P84" t="s">
        <v>9</v>
      </c>
      <c r="R84">
        <v>0</v>
      </c>
      <c r="S84">
        <v>1</v>
      </c>
      <c r="T84">
        <v>1</v>
      </c>
      <c r="U84">
        <v>2600</v>
      </c>
      <c r="V84">
        <v>2600</v>
      </c>
      <c r="W84">
        <v>2938</v>
      </c>
      <c r="X84">
        <v>36.71</v>
      </c>
      <c r="Y84" t="str">
        <f t="shared" si="1"/>
        <v>Door (General) Install</v>
      </c>
      <c r="Z84">
        <v>0</v>
      </c>
    </row>
    <row r="85" spans="1:26" x14ac:dyDescent="0.2">
      <c r="A85" t="s">
        <v>6</v>
      </c>
      <c r="B85" t="s">
        <v>63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O85" t="s">
        <v>14</v>
      </c>
      <c r="P85" t="s">
        <v>9</v>
      </c>
      <c r="R85">
        <v>0</v>
      </c>
      <c r="S85">
        <v>1</v>
      </c>
      <c r="T85">
        <v>1</v>
      </c>
      <c r="U85">
        <v>2600</v>
      </c>
      <c r="V85">
        <v>2600</v>
      </c>
      <c r="W85">
        <v>2938</v>
      </c>
      <c r="X85">
        <v>53.7</v>
      </c>
      <c r="Y85" t="str">
        <f t="shared" si="1"/>
        <v>Door (General) Install</v>
      </c>
      <c r="Z85">
        <v>0</v>
      </c>
    </row>
    <row r="86" spans="1:26" x14ac:dyDescent="0.2">
      <c r="A86" t="s">
        <v>6</v>
      </c>
      <c r="B86" t="s">
        <v>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O86" t="s">
        <v>14</v>
      </c>
      <c r="P86" t="s">
        <v>9</v>
      </c>
      <c r="R86">
        <v>0</v>
      </c>
      <c r="S86">
        <v>1</v>
      </c>
      <c r="T86">
        <v>1</v>
      </c>
      <c r="U86">
        <v>2600</v>
      </c>
      <c r="V86">
        <v>2600</v>
      </c>
      <c r="W86">
        <v>2938</v>
      </c>
      <c r="X86">
        <v>54.37</v>
      </c>
      <c r="Y86" t="str">
        <f t="shared" si="1"/>
        <v>Door (General) Install</v>
      </c>
      <c r="Z86">
        <v>0</v>
      </c>
    </row>
    <row r="87" spans="1:26" x14ac:dyDescent="0.2">
      <c r="A87" t="s">
        <v>6</v>
      </c>
      <c r="B87" t="s">
        <v>33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O87" t="s">
        <v>14</v>
      </c>
      <c r="P87" t="s">
        <v>9</v>
      </c>
      <c r="R87">
        <v>0</v>
      </c>
      <c r="S87">
        <v>1</v>
      </c>
      <c r="T87">
        <v>1</v>
      </c>
      <c r="U87">
        <v>2600</v>
      </c>
      <c r="V87">
        <v>2600</v>
      </c>
      <c r="W87">
        <v>2938</v>
      </c>
      <c r="X87">
        <v>58.12</v>
      </c>
      <c r="Y87" t="str">
        <f t="shared" si="1"/>
        <v>Door (General) Install</v>
      </c>
      <c r="Z87">
        <v>0</v>
      </c>
    </row>
    <row r="88" spans="1:26" x14ac:dyDescent="0.2">
      <c r="A88" t="s">
        <v>6</v>
      </c>
      <c r="B88" t="s">
        <v>33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O88" t="s">
        <v>14</v>
      </c>
      <c r="P88" t="s">
        <v>9</v>
      </c>
      <c r="R88">
        <v>0</v>
      </c>
      <c r="S88">
        <v>1</v>
      </c>
      <c r="T88">
        <v>1</v>
      </c>
      <c r="U88">
        <v>2600</v>
      </c>
      <c r="V88">
        <v>2600</v>
      </c>
      <c r="W88">
        <v>2938</v>
      </c>
      <c r="X88">
        <v>66</v>
      </c>
      <c r="Y88" t="str">
        <f t="shared" si="1"/>
        <v>Door (General) Install</v>
      </c>
      <c r="Z88">
        <v>0</v>
      </c>
    </row>
    <row r="89" spans="1:26" x14ac:dyDescent="0.2">
      <c r="A89" t="s">
        <v>6</v>
      </c>
      <c r="B89" t="s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O89" t="s">
        <v>14</v>
      </c>
      <c r="P89" t="s">
        <v>9</v>
      </c>
      <c r="R89">
        <v>0</v>
      </c>
      <c r="S89">
        <v>1</v>
      </c>
      <c r="T89">
        <v>1</v>
      </c>
      <c r="U89">
        <v>2600</v>
      </c>
      <c r="V89">
        <v>2600</v>
      </c>
      <c r="W89">
        <v>2938</v>
      </c>
      <c r="X89">
        <v>66.06</v>
      </c>
      <c r="Y89" t="str">
        <f t="shared" si="1"/>
        <v>Door (General) Install</v>
      </c>
      <c r="Z89">
        <v>0</v>
      </c>
    </row>
    <row r="90" spans="1:26" x14ac:dyDescent="0.2">
      <c r="A90" t="s">
        <v>6</v>
      </c>
      <c r="B90" t="s">
        <v>63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O90" t="s">
        <v>14</v>
      </c>
      <c r="P90" t="s">
        <v>9</v>
      </c>
      <c r="R90">
        <v>0</v>
      </c>
      <c r="S90">
        <v>1</v>
      </c>
      <c r="T90">
        <v>1</v>
      </c>
      <c r="U90">
        <v>2600</v>
      </c>
      <c r="V90">
        <v>2600</v>
      </c>
      <c r="W90">
        <v>2938</v>
      </c>
      <c r="X90">
        <v>73.08</v>
      </c>
      <c r="Y90" t="str">
        <f t="shared" si="1"/>
        <v>Door (General) Install</v>
      </c>
      <c r="Z90">
        <v>0</v>
      </c>
    </row>
    <row r="91" spans="1:26" x14ac:dyDescent="0.2">
      <c r="A91" t="s">
        <v>6</v>
      </c>
      <c r="B91" t="s">
        <v>63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O91" t="s">
        <v>14</v>
      </c>
      <c r="P91" t="s">
        <v>9</v>
      </c>
      <c r="R91">
        <v>0</v>
      </c>
      <c r="S91">
        <v>1</v>
      </c>
      <c r="T91">
        <v>1</v>
      </c>
      <c r="U91">
        <v>2600</v>
      </c>
      <c r="V91">
        <v>2600</v>
      </c>
      <c r="W91">
        <v>2938</v>
      </c>
      <c r="X91">
        <v>73.08</v>
      </c>
      <c r="Y91" t="str">
        <f t="shared" si="1"/>
        <v>Door (General) Install</v>
      </c>
      <c r="Z91">
        <v>0</v>
      </c>
    </row>
    <row r="92" spans="1:26" x14ac:dyDescent="0.2">
      <c r="A92" t="s">
        <v>6</v>
      </c>
      <c r="B92" t="s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O92" t="s">
        <v>14</v>
      </c>
      <c r="P92" t="s">
        <v>9</v>
      </c>
      <c r="R92">
        <v>0</v>
      </c>
      <c r="S92">
        <v>1</v>
      </c>
      <c r="T92">
        <v>1</v>
      </c>
      <c r="U92">
        <v>2600</v>
      </c>
      <c r="V92">
        <v>2600</v>
      </c>
      <c r="W92">
        <v>2938</v>
      </c>
      <c r="X92">
        <v>94.97</v>
      </c>
      <c r="Y92" t="str">
        <f t="shared" si="1"/>
        <v>Door (General) Install</v>
      </c>
      <c r="Z92">
        <v>0</v>
      </c>
    </row>
    <row r="93" spans="1:26" x14ac:dyDescent="0.2">
      <c r="A93" t="s">
        <v>6</v>
      </c>
      <c r="B93" t="s">
        <v>33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O93" t="s">
        <v>14</v>
      </c>
      <c r="P93" t="s">
        <v>9</v>
      </c>
      <c r="R93">
        <v>0</v>
      </c>
      <c r="S93">
        <v>1</v>
      </c>
      <c r="T93">
        <v>1</v>
      </c>
      <c r="U93">
        <v>2600</v>
      </c>
      <c r="V93">
        <v>2600</v>
      </c>
      <c r="W93">
        <v>2938</v>
      </c>
      <c r="X93">
        <v>113</v>
      </c>
      <c r="Y93" t="str">
        <f t="shared" si="1"/>
        <v>Door (General) Install</v>
      </c>
      <c r="Z93">
        <v>1</v>
      </c>
    </row>
    <row r="94" spans="1:26" x14ac:dyDescent="0.2">
      <c r="A94" t="s">
        <v>6</v>
      </c>
      <c r="B94" t="s">
        <v>63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O94" t="s">
        <v>14</v>
      </c>
      <c r="P94" t="s">
        <v>9</v>
      </c>
      <c r="R94">
        <v>0</v>
      </c>
      <c r="S94">
        <v>1</v>
      </c>
      <c r="T94">
        <v>1</v>
      </c>
      <c r="U94">
        <v>2600</v>
      </c>
      <c r="V94">
        <v>2600</v>
      </c>
      <c r="W94">
        <v>2938</v>
      </c>
      <c r="X94">
        <v>130.61000000000001</v>
      </c>
      <c r="Y94" t="str">
        <f t="shared" si="1"/>
        <v>Door (General) Install</v>
      </c>
      <c r="Z94">
        <v>1</v>
      </c>
    </row>
    <row r="95" spans="1:26" x14ac:dyDescent="0.2">
      <c r="A95" t="s">
        <v>6</v>
      </c>
      <c r="B95" t="s">
        <v>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O95" t="s">
        <v>14</v>
      </c>
      <c r="P95" t="s">
        <v>9</v>
      </c>
      <c r="R95">
        <v>0</v>
      </c>
      <c r="S95">
        <v>1</v>
      </c>
      <c r="T95">
        <v>1</v>
      </c>
      <c r="U95">
        <v>2600</v>
      </c>
      <c r="V95">
        <v>2600</v>
      </c>
      <c r="W95">
        <v>2938</v>
      </c>
      <c r="X95">
        <v>131.6</v>
      </c>
      <c r="Y95" t="str">
        <f t="shared" si="1"/>
        <v>Door (General) Install</v>
      </c>
      <c r="Z95">
        <v>1</v>
      </c>
    </row>
    <row r="96" spans="1:26" x14ac:dyDescent="0.2">
      <c r="A96" t="s">
        <v>6</v>
      </c>
      <c r="B96" t="s">
        <v>63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O96" t="s">
        <v>14</v>
      </c>
      <c r="P96" t="s">
        <v>9</v>
      </c>
      <c r="R96">
        <v>0</v>
      </c>
      <c r="S96">
        <v>1</v>
      </c>
      <c r="T96">
        <v>1</v>
      </c>
      <c r="U96">
        <v>2600</v>
      </c>
      <c r="V96">
        <v>2600</v>
      </c>
      <c r="W96">
        <v>2938</v>
      </c>
      <c r="X96">
        <v>139.47</v>
      </c>
      <c r="Y96" t="str">
        <f t="shared" si="1"/>
        <v>Door (General) Install</v>
      </c>
      <c r="Z96">
        <v>1</v>
      </c>
    </row>
    <row r="97" spans="1:26" x14ac:dyDescent="0.2">
      <c r="A97" t="s">
        <v>6</v>
      </c>
      <c r="B97" t="s">
        <v>86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O97" t="s">
        <v>14</v>
      </c>
      <c r="P97" t="s">
        <v>9</v>
      </c>
      <c r="R97">
        <v>0</v>
      </c>
      <c r="S97">
        <v>1</v>
      </c>
      <c r="T97">
        <v>1</v>
      </c>
      <c r="U97">
        <v>2600</v>
      </c>
      <c r="V97">
        <v>2600</v>
      </c>
      <c r="W97">
        <v>2938</v>
      </c>
      <c r="X97">
        <v>143.13</v>
      </c>
      <c r="Y97" t="str">
        <f t="shared" si="1"/>
        <v>Door (General) Install</v>
      </c>
      <c r="Z97">
        <v>1</v>
      </c>
    </row>
    <row r="98" spans="1:26" x14ac:dyDescent="0.2">
      <c r="A98" t="s">
        <v>6</v>
      </c>
      <c r="B98" t="s">
        <v>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O98" t="s">
        <v>14</v>
      </c>
      <c r="P98" t="s">
        <v>9</v>
      </c>
      <c r="R98">
        <v>0</v>
      </c>
      <c r="S98">
        <v>1</v>
      </c>
      <c r="T98">
        <v>1</v>
      </c>
      <c r="U98">
        <v>2600</v>
      </c>
      <c r="V98">
        <v>2600</v>
      </c>
      <c r="W98">
        <v>2938</v>
      </c>
      <c r="X98">
        <v>157.52000000000001</v>
      </c>
      <c r="Y98" t="str">
        <f t="shared" si="1"/>
        <v>Door (General) Install</v>
      </c>
      <c r="Z98">
        <v>1</v>
      </c>
    </row>
    <row r="99" spans="1:26" x14ac:dyDescent="0.2">
      <c r="A99" t="s">
        <v>6</v>
      </c>
      <c r="B99" t="s">
        <v>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O99" t="s">
        <v>14</v>
      </c>
      <c r="P99" t="s">
        <v>9</v>
      </c>
      <c r="R99">
        <v>0</v>
      </c>
      <c r="S99">
        <v>1</v>
      </c>
      <c r="T99">
        <v>1</v>
      </c>
      <c r="U99">
        <v>2600</v>
      </c>
      <c r="V99">
        <v>2600</v>
      </c>
      <c r="W99">
        <v>2938</v>
      </c>
      <c r="X99">
        <v>177.82</v>
      </c>
      <c r="Y99" t="str">
        <f t="shared" si="1"/>
        <v>Door (General) Install</v>
      </c>
      <c r="Z99">
        <v>1</v>
      </c>
    </row>
    <row r="100" spans="1:26" x14ac:dyDescent="0.2">
      <c r="A100" t="s">
        <v>6</v>
      </c>
      <c r="B100" t="s">
        <v>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O100" t="s">
        <v>14</v>
      </c>
      <c r="P100" t="s">
        <v>9</v>
      </c>
      <c r="R100">
        <v>0</v>
      </c>
      <c r="S100">
        <v>1</v>
      </c>
      <c r="T100">
        <v>1</v>
      </c>
      <c r="U100">
        <v>2600</v>
      </c>
      <c r="V100">
        <v>2600</v>
      </c>
      <c r="W100">
        <v>2938</v>
      </c>
      <c r="X100">
        <v>194.6</v>
      </c>
      <c r="Y100" t="str">
        <f t="shared" si="1"/>
        <v>Door (General) Install</v>
      </c>
      <c r="Z100">
        <v>1</v>
      </c>
    </row>
    <row r="101" spans="1:26" x14ac:dyDescent="0.2">
      <c r="A101" t="s">
        <v>6</v>
      </c>
      <c r="B101" t="s">
        <v>33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O101" t="s">
        <v>14</v>
      </c>
      <c r="P101" t="s">
        <v>9</v>
      </c>
      <c r="R101">
        <v>0</v>
      </c>
      <c r="S101">
        <v>1</v>
      </c>
      <c r="T101">
        <v>1</v>
      </c>
      <c r="U101">
        <v>2600</v>
      </c>
      <c r="V101">
        <v>2600</v>
      </c>
      <c r="W101">
        <v>2938</v>
      </c>
      <c r="X101">
        <v>202.99</v>
      </c>
      <c r="Y101" t="str">
        <f t="shared" si="1"/>
        <v>Door (General) Install</v>
      </c>
      <c r="Z101">
        <v>2</v>
      </c>
    </row>
    <row r="102" spans="1:26" x14ac:dyDescent="0.2">
      <c r="A102" t="s">
        <v>6</v>
      </c>
      <c r="B102" t="s">
        <v>33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O102" t="s">
        <v>14</v>
      </c>
      <c r="P102" t="s">
        <v>9</v>
      </c>
      <c r="R102">
        <v>0</v>
      </c>
      <c r="S102">
        <v>1</v>
      </c>
      <c r="T102">
        <v>1</v>
      </c>
      <c r="U102">
        <v>2600</v>
      </c>
      <c r="V102">
        <v>2600</v>
      </c>
      <c r="W102">
        <v>2938</v>
      </c>
      <c r="X102">
        <v>207.83</v>
      </c>
      <c r="Y102" t="str">
        <f t="shared" si="1"/>
        <v>Door (General) Install</v>
      </c>
      <c r="Z102">
        <v>2</v>
      </c>
    </row>
    <row r="103" spans="1:26" x14ac:dyDescent="0.2">
      <c r="A103" t="s">
        <v>6</v>
      </c>
      <c r="B103" t="s">
        <v>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O103" t="s">
        <v>14</v>
      </c>
      <c r="P103" t="s">
        <v>9</v>
      </c>
      <c r="R103">
        <v>0</v>
      </c>
      <c r="S103">
        <v>1</v>
      </c>
      <c r="T103">
        <v>1</v>
      </c>
      <c r="U103">
        <v>2600</v>
      </c>
      <c r="V103">
        <v>2600</v>
      </c>
      <c r="W103">
        <v>2938</v>
      </c>
      <c r="X103">
        <v>569.80999999999995</v>
      </c>
      <c r="Y103" t="str">
        <f t="shared" si="1"/>
        <v>Door (General) Install</v>
      </c>
      <c r="Z103">
        <v>5</v>
      </c>
    </row>
    <row r="104" spans="1:26" x14ac:dyDescent="0.2">
      <c r="A104" t="s">
        <v>6</v>
      </c>
      <c r="B104" t="s">
        <v>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O104" t="s">
        <v>14</v>
      </c>
      <c r="P104" t="s">
        <v>9</v>
      </c>
      <c r="R104">
        <v>0</v>
      </c>
      <c r="S104">
        <v>1</v>
      </c>
      <c r="T104">
        <v>1</v>
      </c>
      <c r="U104">
        <v>2600</v>
      </c>
      <c r="V104">
        <v>2600</v>
      </c>
      <c r="W104">
        <v>2938</v>
      </c>
      <c r="X104">
        <v>949.12</v>
      </c>
      <c r="Y104" t="str">
        <f t="shared" si="1"/>
        <v>Door (General) Install</v>
      </c>
      <c r="Z104">
        <v>5</v>
      </c>
    </row>
    <row r="105" spans="1:26" x14ac:dyDescent="0.2">
      <c r="A105" t="s">
        <v>6</v>
      </c>
      <c r="B105" t="s">
        <v>63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O105" t="s">
        <v>14</v>
      </c>
      <c r="P105" t="s">
        <v>9</v>
      </c>
      <c r="R105">
        <v>0</v>
      </c>
      <c r="S105">
        <v>1</v>
      </c>
      <c r="T105">
        <v>1</v>
      </c>
      <c r="U105">
        <v>2600</v>
      </c>
      <c r="V105">
        <v>2600</v>
      </c>
      <c r="W105">
        <v>2938</v>
      </c>
      <c r="X105">
        <v>955.56</v>
      </c>
      <c r="Y105" t="str">
        <f t="shared" si="1"/>
        <v>Door (General) Install</v>
      </c>
      <c r="Z105">
        <v>5</v>
      </c>
    </row>
    <row r="106" spans="1:26" x14ac:dyDescent="0.2">
      <c r="A106" t="s">
        <v>6</v>
      </c>
      <c r="B106" t="s">
        <v>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 t="s">
        <v>198</v>
      </c>
      <c r="O106" t="s">
        <v>38</v>
      </c>
      <c r="P106" t="s">
        <v>9</v>
      </c>
      <c r="R106">
        <v>0</v>
      </c>
      <c r="S106">
        <v>0</v>
      </c>
      <c r="T106">
        <v>3</v>
      </c>
      <c r="U106">
        <v>2590</v>
      </c>
      <c r="V106">
        <v>7770</v>
      </c>
      <c r="W106">
        <v>8780.1</v>
      </c>
      <c r="X106">
        <v>121.97</v>
      </c>
      <c r="Y106" t="str">
        <f t="shared" si="1"/>
        <v>Door (General) Supply &amp; Install</v>
      </c>
      <c r="Z106">
        <v>1</v>
      </c>
    </row>
    <row r="107" spans="1:26" x14ac:dyDescent="0.2">
      <c r="A107" t="s">
        <v>6</v>
      </c>
      <c r="B107" t="s">
        <v>199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 t="s">
        <v>179</v>
      </c>
      <c r="O107" t="s">
        <v>38</v>
      </c>
      <c r="P107" t="s">
        <v>9</v>
      </c>
      <c r="R107">
        <v>0</v>
      </c>
      <c r="S107">
        <v>0</v>
      </c>
      <c r="T107">
        <v>2</v>
      </c>
      <c r="U107">
        <v>5120</v>
      </c>
      <c r="V107">
        <v>5120</v>
      </c>
      <c r="W107">
        <v>5785.6</v>
      </c>
      <c r="X107">
        <v>538.39</v>
      </c>
      <c r="Y107" t="str">
        <f t="shared" si="1"/>
        <v>Door (General) Supply &amp; Install</v>
      </c>
      <c r="Z107">
        <v>5</v>
      </c>
    </row>
    <row r="108" spans="1:26" x14ac:dyDescent="0.2">
      <c r="A108" t="s">
        <v>6</v>
      </c>
      <c r="B108" t="s">
        <v>57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 t="s">
        <v>179</v>
      </c>
      <c r="O108" t="s">
        <v>38</v>
      </c>
      <c r="P108" t="s">
        <v>9</v>
      </c>
      <c r="R108">
        <v>0</v>
      </c>
      <c r="S108">
        <v>0</v>
      </c>
      <c r="T108">
        <v>2</v>
      </c>
      <c r="U108">
        <v>2540</v>
      </c>
      <c r="V108">
        <v>5080</v>
      </c>
      <c r="W108">
        <v>5740.4</v>
      </c>
      <c r="X108">
        <v>306</v>
      </c>
      <c r="Y108" t="str">
        <f t="shared" si="1"/>
        <v>Door (General) Supply &amp; Install</v>
      </c>
      <c r="Z108">
        <v>3</v>
      </c>
    </row>
    <row r="109" spans="1:26" x14ac:dyDescent="0.2">
      <c r="A109" t="s">
        <v>6</v>
      </c>
      <c r="B109" t="s">
        <v>200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 t="s">
        <v>201</v>
      </c>
      <c r="O109" t="s">
        <v>38</v>
      </c>
      <c r="P109" t="s">
        <v>9</v>
      </c>
      <c r="R109">
        <v>0</v>
      </c>
      <c r="S109">
        <v>0</v>
      </c>
      <c r="T109">
        <v>2</v>
      </c>
      <c r="U109">
        <v>2520</v>
      </c>
      <c r="V109">
        <v>5040</v>
      </c>
      <c r="W109">
        <v>5695.2</v>
      </c>
      <c r="X109">
        <v>307.37</v>
      </c>
      <c r="Y109" t="str">
        <f t="shared" si="1"/>
        <v>Door (General) Supply &amp; Install</v>
      </c>
      <c r="Z109">
        <v>3</v>
      </c>
    </row>
    <row r="110" spans="1:26" x14ac:dyDescent="0.2">
      <c r="A110" t="s">
        <v>42</v>
      </c>
      <c r="B110" t="s">
        <v>202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203</v>
      </c>
      <c r="O110" t="s">
        <v>14</v>
      </c>
      <c r="P110" t="s">
        <v>25</v>
      </c>
      <c r="R110">
        <v>0</v>
      </c>
      <c r="S110">
        <v>1</v>
      </c>
      <c r="T110">
        <v>1</v>
      </c>
      <c r="U110">
        <v>2500</v>
      </c>
      <c r="V110">
        <v>2500</v>
      </c>
      <c r="W110">
        <v>2825</v>
      </c>
      <c r="X110">
        <v>190.16</v>
      </c>
      <c r="Y110" t="str">
        <f t="shared" si="1"/>
        <v>High Speed Door Install</v>
      </c>
      <c r="Z110">
        <v>1</v>
      </c>
    </row>
    <row r="111" spans="1:26" x14ac:dyDescent="0.2">
      <c r="A111" t="s">
        <v>6</v>
      </c>
      <c r="B111" t="s">
        <v>115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O111" t="s">
        <v>14</v>
      </c>
      <c r="P111" t="s">
        <v>9</v>
      </c>
      <c r="R111">
        <v>0</v>
      </c>
      <c r="S111">
        <v>1</v>
      </c>
      <c r="T111">
        <v>4</v>
      </c>
      <c r="U111">
        <v>2500</v>
      </c>
      <c r="V111">
        <v>10000</v>
      </c>
      <c r="W111">
        <v>11300</v>
      </c>
      <c r="X111">
        <v>209.27</v>
      </c>
      <c r="Y111" t="str">
        <f t="shared" si="1"/>
        <v>Door (General) Install</v>
      </c>
      <c r="Z111">
        <v>2</v>
      </c>
    </row>
    <row r="112" spans="1:26" x14ac:dyDescent="0.2">
      <c r="A112" t="s">
        <v>6</v>
      </c>
      <c r="B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O112" t="s">
        <v>14</v>
      </c>
      <c r="P112" t="s">
        <v>9</v>
      </c>
      <c r="R112">
        <v>0</v>
      </c>
      <c r="S112">
        <v>1</v>
      </c>
      <c r="T112">
        <v>1</v>
      </c>
      <c r="U112">
        <v>2500</v>
      </c>
      <c r="V112">
        <v>2500</v>
      </c>
      <c r="W112">
        <v>2825</v>
      </c>
      <c r="X112">
        <v>211.68</v>
      </c>
      <c r="Y112" t="str">
        <f t="shared" si="1"/>
        <v>Door (General) Install</v>
      </c>
      <c r="Z112">
        <v>2</v>
      </c>
    </row>
    <row r="113" spans="1:26" x14ac:dyDescent="0.2">
      <c r="A113" t="s">
        <v>10</v>
      </c>
      <c r="B113" t="s">
        <v>129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161</v>
      </c>
      <c r="O113" t="s">
        <v>14</v>
      </c>
      <c r="P113" t="s">
        <v>25</v>
      </c>
      <c r="R113">
        <v>0</v>
      </c>
      <c r="S113">
        <v>1</v>
      </c>
      <c r="T113">
        <v>1</v>
      </c>
      <c r="U113">
        <v>2500</v>
      </c>
      <c r="V113">
        <v>2500</v>
      </c>
      <c r="W113">
        <v>2825</v>
      </c>
      <c r="X113">
        <v>259.02999999999997</v>
      </c>
      <c r="Y113" t="str">
        <f t="shared" si="1"/>
        <v>High Speed Door Install</v>
      </c>
      <c r="Z113">
        <v>2</v>
      </c>
    </row>
    <row r="114" spans="1:26" x14ac:dyDescent="0.2">
      <c r="A114" t="s">
        <v>10</v>
      </c>
      <c r="B114" t="s">
        <v>157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O114" t="s">
        <v>14</v>
      </c>
      <c r="P114" t="s">
        <v>9</v>
      </c>
      <c r="R114">
        <v>0</v>
      </c>
      <c r="S114">
        <v>1</v>
      </c>
      <c r="T114">
        <v>1</v>
      </c>
      <c r="U114">
        <v>2500</v>
      </c>
      <c r="V114">
        <v>2500</v>
      </c>
      <c r="W114">
        <v>2825</v>
      </c>
      <c r="X114">
        <v>314.60000000000002</v>
      </c>
      <c r="Y114" t="str">
        <f t="shared" si="1"/>
        <v>Door (General) Install</v>
      </c>
      <c r="Z114">
        <v>3</v>
      </c>
    </row>
    <row r="115" spans="1:26" x14ac:dyDescent="0.2">
      <c r="A115" t="s">
        <v>6</v>
      </c>
      <c r="B115" t="s">
        <v>199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 t="s">
        <v>180</v>
      </c>
      <c r="O115" t="s">
        <v>14</v>
      </c>
      <c r="P115" t="s">
        <v>9</v>
      </c>
      <c r="R115">
        <v>0</v>
      </c>
      <c r="S115">
        <v>1</v>
      </c>
      <c r="T115">
        <v>2</v>
      </c>
      <c r="U115">
        <v>4944</v>
      </c>
      <c r="V115">
        <v>4944</v>
      </c>
      <c r="W115">
        <v>5586.72</v>
      </c>
      <c r="X115">
        <v>204</v>
      </c>
      <c r="Y115" t="str">
        <f t="shared" si="1"/>
        <v>Door (General) Install</v>
      </c>
      <c r="Z115">
        <v>2</v>
      </c>
    </row>
    <row r="116" spans="1:26" x14ac:dyDescent="0.2">
      <c r="A116" t="s">
        <v>6</v>
      </c>
      <c r="B116" t="s">
        <v>204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O116" t="s">
        <v>17</v>
      </c>
      <c r="P116" t="s">
        <v>9</v>
      </c>
      <c r="R116">
        <v>0</v>
      </c>
      <c r="S116">
        <v>0</v>
      </c>
      <c r="T116">
        <v>1</v>
      </c>
      <c r="U116">
        <v>2450</v>
      </c>
      <c r="V116">
        <v>2450</v>
      </c>
      <c r="W116">
        <v>2768.5</v>
      </c>
      <c r="X116">
        <v>212.53</v>
      </c>
      <c r="Z116">
        <v>2</v>
      </c>
    </row>
    <row r="117" spans="1:26" x14ac:dyDescent="0.2">
      <c r="A117" t="s">
        <v>6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O117" t="s">
        <v>14</v>
      </c>
      <c r="P117" t="s">
        <v>9</v>
      </c>
      <c r="R117">
        <v>0</v>
      </c>
      <c r="S117">
        <v>1</v>
      </c>
      <c r="T117">
        <v>1</v>
      </c>
      <c r="U117">
        <v>2400</v>
      </c>
      <c r="V117">
        <v>2400</v>
      </c>
      <c r="W117">
        <v>2712</v>
      </c>
      <c r="X117">
        <v>30.49</v>
      </c>
      <c r="Y117" t="str">
        <f t="shared" si="1"/>
        <v>Door (General) Install</v>
      </c>
      <c r="Z117">
        <v>0</v>
      </c>
    </row>
    <row r="118" spans="1:26" x14ac:dyDescent="0.2">
      <c r="A118" t="s">
        <v>6</v>
      </c>
      <c r="B118" t="s">
        <v>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O118" t="s">
        <v>14</v>
      </c>
      <c r="P118" t="s">
        <v>9</v>
      </c>
      <c r="R118">
        <v>0</v>
      </c>
      <c r="S118">
        <v>1</v>
      </c>
      <c r="T118">
        <v>1</v>
      </c>
      <c r="U118">
        <v>2400</v>
      </c>
      <c r="V118">
        <v>2400</v>
      </c>
      <c r="W118">
        <v>2712</v>
      </c>
      <c r="X118">
        <v>40.700000000000003</v>
      </c>
      <c r="Y118" t="str">
        <f t="shared" si="1"/>
        <v>Door (General) Install</v>
      </c>
      <c r="Z118">
        <v>0</v>
      </c>
    </row>
    <row r="119" spans="1:26" x14ac:dyDescent="0.2">
      <c r="A119" t="s">
        <v>6</v>
      </c>
      <c r="B119" t="s">
        <v>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O119" t="s">
        <v>14</v>
      </c>
      <c r="P119" t="s">
        <v>9</v>
      </c>
      <c r="R119">
        <v>0</v>
      </c>
      <c r="S119">
        <v>1</v>
      </c>
      <c r="T119">
        <v>1</v>
      </c>
      <c r="U119">
        <v>2400</v>
      </c>
      <c r="V119">
        <v>2400</v>
      </c>
      <c r="W119">
        <v>2712</v>
      </c>
      <c r="X119">
        <v>52.64</v>
      </c>
      <c r="Y119" t="str">
        <f t="shared" si="1"/>
        <v>Door (General) Install</v>
      </c>
      <c r="Z119">
        <v>0</v>
      </c>
    </row>
    <row r="120" spans="1:26" x14ac:dyDescent="0.2">
      <c r="A120" t="s">
        <v>6</v>
      </c>
      <c r="B120" t="s">
        <v>63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O120" t="s">
        <v>14</v>
      </c>
      <c r="P120" t="s">
        <v>9</v>
      </c>
      <c r="R120">
        <v>0</v>
      </c>
      <c r="S120">
        <v>1</v>
      </c>
      <c r="T120">
        <v>1</v>
      </c>
      <c r="U120">
        <v>2400</v>
      </c>
      <c r="V120">
        <v>2400</v>
      </c>
      <c r="W120">
        <v>2712</v>
      </c>
      <c r="X120">
        <v>58.37</v>
      </c>
      <c r="Y120" t="str">
        <f t="shared" si="1"/>
        <v>Door (General) Install</v>
      </c>
      <c r="Z120">
        <v>0</v>
      </c>
    </row>
    <row r="121" spans="1:26" x14ac:dyDescent="0.2">
      <c r="A121" t="s">
        <v>6</v>
      </c>
      <c r="B121" t="s">
        <v>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O121" t="s">
        <v>14</v>
      </c>
      <c r="P121" t="s">
        <v>9</v>
      </c>
      <c r="R121">
        <v>0</v>
      </c>
      <c r="S121">
        <v>1</v>
      </c>
      <c r="T121">
        <v>1</v>
      </c>
      <c r="U121">
        <v>2400</v>
      </c>
      <c r="V121">
        <v>2400</v>
      </c>
      <c r="W121">
        <v>2712</v>
      </c>
      <c r="X121">
        <v>61.15</v>
      </c>
      <c r="Y121" t="str">
        <f t="shared" si="1"/>
        <v>Door (General) Install</v>
      </c>
      <c r="Z121">
        <v>0</v>
      </c>
    </row>
    <row r="122" spans="1:26" x14ac:dyDescent="0.2">
      <c r="A122" t="s">
        <v>6</v>
      </c>
      <c r="B122" t="s">
        <v>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O122" t="s">
        <v>14</v>
      </c>
      <c r="P122" t="s">
        <v>9</v>
      </c>
      <c r="R122">
        <v>0</v>
      </c>
      <c r="S122">
        <v>1</v>
      </c>
      <c r="T122">
        <v>1</v>
      </c>
      <c r="U122">
        <v>2400</v>
      </c>
      <c r="V122">
        <v>2400</v>
      </c>
      <c r="W122">
        <v>2712</v>
      </c>
      <c r="X122">
        <v>71.010000000000005</v>
      </c>
      <c r="Y122" t="str">
        <f t="shared" si="1"/>
        <v>Door (General) Install</v>
      </c>
      <c r="Z122">
        <v>0</v>
      </c>
    </row>
    <row r="123" spans="1:26" x14ac:dyDescent="0.2">
      <c r="A123" t="s">
        <v>6</v>
      </c>
      <c r="B123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O123" t="s">
        <v>14</v>
      </c>
      <c r="P123" t="s">
        <v>9</v>
      </c>
      <c r="R123">
        <v>0</v>
      </c>
      <c r="S123">
        <v>1</v>
      </c>
      <c r="T123">
        <v>1</v>
      </c>
      <c r="U123">
        <v>2400</v>
      </c>
      <c r="V123">
        <v>2400</v>
      </c>
      <c r="W123">
        <v>2712</v>
      </c>
      <c r="X123">
        <v>79.09</v>
      </c>
      <c r="Y123" t="str">
        <f t="shared" si="1"/>
        <v>Door (General) Install</v>
      </c>
      <c r="Z123">
        <v>0</v>
      </c>
    </row>
    <row r="124" spans="1:26" x14ac:dyDescent="0.2">
      <c r="A124" t="s">
        <v>6</v>
      </c>
      <c r="B124" t="s">
        <v>33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O124" t="s">
        <v>14</v>
      </c>
      <c r="P124" t="s">
        <v>9</v>
      </c>
      <c r="R124">
        <v>0</v>
      </c>
      <c r="S124">
        <v>1</v>
      </c>
      <c r="T124">
        <v>1</v>
      </c>
      <c r="U124">
        <v>2400</v>
      </c>
      <c r="V124">
        <v>2400</v>
      </c>
      <c r="W124">
        <v>2712</v>
      </c>
      <c r="X124">
        <v>85.7</v>
      </c>
      <c r="Y124" t="str">
        <f t="shared" si="1"/>
        <v>Door (General) Install</v>
      </c>
      <c r="Z124">
        <v>0</v>
      </c>
    </row>
    <row r="125" spans="1:26" x14ac:dyDescent="0.2">
      <c r="A125" t="s">
        <v>6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O125" t="s">
        <v>14</v>
      </c>
      <c r="P125" t="s">
        <v>9</v>
      </c>
      <c r="R125">
        <v>0</v>
      </c>
      <c r="S125">
        <v>1</v>
      </c>
      <c r="T125">
        <v>1</v>
      </c>
      <c r="U125">
        <v>2400</v>
      </c>
      <c r="V125">
        <v>2400</v>
      </c>
      <c r="W125">
        <v>2712</v>
      </c>
      <c r="X125">
        <v>90.87</v>
      </c>
      <c r="Y125" t="str">
        <f t="shared" si="1"/>
        <v>Door (General) Install</v>
      </c>
      <c r="Z125">
        <v>0</v>
      </c>
    </row>
    <row r="126" spans="1:26" x14ac:dyDescent="0.2">
      <c r="A126" t="s">
        <v>6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O126" t="s">
        <v>14</v>
      </c>
      <c r="P126" t="s">
        <v>9</v>
      </c>
      <c r="R126">
        <v>0</v>
      </c>
      <c r="S126">
        <v>1</v>
      </c>
      <c r="T126">
        <v>1</v>
      </c>
      <c r="U126">
        <v>2400</v>
      </c>
      <c r="V126">
        <v>2400</v>
      </c>
      <c r="W126">
        <v>2712</v>
      </c>
      <c r="X126">
        <v>94.97</v>
      </c>
      <c r="Y126" t="str">
        <f t="shared" si="1"/>
        <v>Door (General) Install</v>
      </c>
      <c r="Z126">
        <v>0</v>
      </c>
    </row>
    <row r="127" spans="1:26" x14ac:dyDescent="0.2">
      <c r="A127" t="s">
        <v>6</v>
      </c>
      <c r="B127" t="s">
        <v>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O127" t="s">
        <v>14</v>
      </c>
      <c r="P127" t="s">
        <v>9</v>
      </c>
      <c r="R127">
        <v>0</v>
      </c>
      <c r="S127">
        <v>1</v>
      </c>
      <c r="T127">
        <v>1</v>
      </c>
      <c r="U127">
        <v>2400</v>
      </c>
      <c r="V127">
        <v>2400</v>
      </c>
      <c r="W127">
        <v>2712</v>
      </c>
      <c r="X127">
        <v>105.39</v>
      </c>
      <c r="Y127" t="str">
        <f t="shared" si="1"/>
        <v>Door (General) Install</v>
      </c>
      <c r="Z127">
        <v>1</v>
      </c>
    </row>
    <row r="128" spans="1:26" x14ac:dyDescent="0.2">
      <c r="A128" t="s">
        <v>6</v>
      </c>
      <c r="B128" t="s">
        <v>82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O128" t="s">
        <v>14</v>
      </c>
      <c r="P128" t="s">
        <v>9</v>
      </c>
      <c r="R128">
        <v>0</v>
      </c>
      <c r="S128">
        <v>1</v>
      </c>
      <c r="T128">
        <v>1</v>
      </c>
      <c r="U128">
        <v>2400</v>
      </c>
      <c r="V128">
        <v>2400</v>
      </c>
      <c r="W128">
        <v>2712</v>
      </c>
      <c r="X128">
        <v>109.26</v>
      </c>
      <c r="Y128" t="str">
        <f t="shared" si="1"/>
        <v>Door (General) Install</v>
      </c>
      <c r="Z128">
        <v>1</v>
      </c>
    </row>
    <row r="129" spans="1:26" x14ac:dyDescent="0.2">
      <c r="A129" t="s">
        <v>6</v>
      </c>
      <c r="B129" t="s">
        <v>33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O129" t="s">
        <v>14</v>
      </c>
      <c r="P129" t="s">
        <v>9</v>
      </c>
      <c r="R129">
        <v>0</v>
      </c>
      <c r="S129">
        <v>1</v>
      </c>
      <c r="T129">
        <v>1</v>
      </c>
      <c r="U129">
        <v>2400</v>
      </c>
      <c r="V129">
        <v>2400</v>
      </c>
      <c r="W129">
        <v>2712</v>
      </c>
      <c r="X129">
        <v>112.99</v>
      </c>
      <c r="Y129" t="str">
        <f t="shared" si="1"/>
        <v>Door (General) Install</v>
      </c>
      <c r="Z129">
        <v>1</v>
      </c>
    </row>
    <row r="130" spans="1:26" x14ac:dyDescent="0.2">
      <c r="A130" t="s">
        <v>6</v>
      </c>
      <c r="B130" t="s">
        <v>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O130" t="s">
        <v>14</v>
      </c>
      <c r="P130" t="s">
        <v>9</v>
      </c>
      <c r="R130">
        <v>0</v>
      </c>
      <c r="S130">
        <v>1</v>
      </c>
      <c r="T130">
        <v>1</v>
      </c>
      <c r="U130">
        <v>2400</v>
      </c>
      <c r="V130">
        <v>2400</v>
      </c>
      <c r="W130">
        <v>2712</v>
      </c>
      <c r="X130">
        <v>116.11</v>
      </c>
      <c r="Y130" t="str">
        <f t="shared" ref="Y130:Y193" si="2">_xlfn.CONCAT($P130&amp;" "&amp;$O130)</f>
        <v>Door (General) Install</v>
      </c>
      <c r="Z130">
        <v>1</v>
      </c>
    </row>
    <row r="131" spans="1:26" x14ac:dyDescent="0.2">
      <c r="A131" t="s">
        <v>6</v>
      </c>
      <c r="B131" t="s">
        <v>86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O131" t="s">
        <v>14</v>
      </c>
      <c r="P131" t="s">
        <v>9</v>
      </c>
      <c r="R131">
        <v>0</v>
      </c>
      <c r="S131">
        <v>1</v>
      </c>
      <c r="T131">
        <v>1</v>
      </c>
      <c r="U131">
        <v>2400</v>
      </c>
      <c r="V131">
        <v>2400</v>
      </c>
      <c r="W131">
        <v>2712</v>
      </c>
      <c r="X131">
        <v>117.05</v>
      </c>
      <c r="Y131" t="str">
        <f t="shared" si="2"/>
        <v>Door (General) Install</v>
      </c>
      <c r="Z131">
        <v>1</v>
      </c>
    </row>
    <row r="132" spans="1:26" x14ac:dyDescent="0.2">
      <c r="A132" t="s">
        <v>6</v>
      </c>
      <c r="B132" t="s">
        <v>33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O132" t="s">
        <v>14</v>
      </c>
      <c r="P132" t="s">
        <v>9</v>
      </c>
      <c r="R132">
        <v>0</v>
      </c>
      <c r="S132">
        <v>1</v>
      </c>
      <c r="T132">
        <v>1</v>
      </c>
      <c r="U132">
        <v>2400</v>
      </c>
      <c r="V132">
        <v>2400</v>
      </c>
      <c r="W132">
        <v>2712</v>
      </c>
      <c r="X132">
        <v>120.75</v>
      </c>
      <c r="Y132" t="str">
        <f t="shared" si="2"/>
        <v>Door (General) Install</v>
      </c>
      <c r="Z132">
        <v>1</v>
      </c>
    </row>
    <row r="133" spans="1:26" x14ac:dyDescent="0.2">
      <c r="A133" t="s">
        <v>6</v>
      </c>
      <c r="B133" t="s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O133" t="s">
        <v>14</v>
      </c>
      <c r="P133" t="s">
        <v>9</v>
      </c>
      <c r="R133">
        <v>0</v>
      </c>
      <c r="S133">
        <v>1</v>
      </c>
      <c r="T133">
        <v>1</v>
      </c>
      <c r="U133">
        <v>2400</v>
      </c>
      <c r="V133">
        <v>2400</v>
      </c>
      <c r="W133">
        <v>2712</v>
      </c>
      <c r="X133">
        <v>122.26</v>
      </c>
      <c r="Y133" t="str">
        <f t="shared" si="2"/>
        <v>Door (General) Install</v>
      </c>
      <c r="Z133">
        <v>1</v>
      </c>
    </row>
    <row r="134" spans="1:26" x14ac:dyDescent="0.2">
      <c r="A134" t="s">
        <v>6</v>
      </c>
      <c r="B134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O134" t="s">
        <v>14</v>
      </c>
      <c r="P134" t="s">
        <v>9</v>
      </c>
      <c r="R134">
        <v>0</v>
      </c>
      <c r="S134">
        <v>1</v>
      </c>
      <c r="T134">
        <v>1</v>
      </c>
      <c r="U134">
        <v>2400</v>
      </c>
      <c r="V134">
        <v>2400</v>
      </c>
      <c r="W134">
        <v>2712</v>
      </c>
      <c r="X134">
        <v>152</v>
      </c>
      <c r="Y134" t="str">
        <f t="shared" si="2"/>
        <v>Door (General) Install</v>
      </c>
      <c r="Z134">
        <v>1</v>
      </c>
    </row>
    <row r="135" spans="1:26" x14ac:dyDescent="0.2">
      <c r="A135" t="s">
        <v>6</v>
      </c>
      <c r="B135" t="s">
        <v>82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O135" t="s">
        <v>14</v>
      </c>
      <c r="P135" t="s">
        <v>9</v>
      </c>
      <c r="R135">
        <v>0</v>
      </c>
      <c r="S135">
        <v>1</v>
      </c>
      <c r="T135">
        <v>1</v>
      </c>
      <c r="U135">
        <v>2400</v>
      </c>
      <c r="V135">
        <v>2400</v>
      </c>
      <c r="W135">
        <v>2712</v>
      </c>
      <c r="X135">
        <v>165.92</v>
      </c>
      <c r="Y135" t="str">
        <f t="shared" si="2"/>
        <v>Door (General) Install</v>
      </c>
      <c r="Z135">
        <v>1</v>
      </c>
    </row>
    <row r="136" spans="1:26" x14ac:dyDescent="0.2">
      <c r="A136" t="s">
        <v>6</v>
      </c>
      <c r="B136" t="s">
        <v>82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O136" t="s">
        <v>14</v>
      </c>
      <c r="P136" t="s">
        <v>9</v>
      </c>
      <c r="R136">
        <v>0</v>
      </c>
      <c r="S136">
        <v>1</v>
      </c>
      <c r="T136">
        <v>1</v>
      </c>
      <c r="U136">
        <v>2400</v>
      </c>
      <c r="V136">
        <v>2400</v>
      </c>
      <c r="W136">
        <v>2712</v>
      </c>
      <c r="X136">
        <v>204.01</v>
      </c>
      <c r="Y136" t="str">
        <f t="shared" si="2"/>
        <v>Door (General) Install</v>
      </c>
      <c r="Z136">
        <v>2</v>
      </c>
    </row>
    <row r="137" spans="1:26" x14ac:dyDescent="0.2">
      <c r="A137" t="s">
        <v>6</v>
      </c>
      <c r="B137" t="s">
        <v>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O137" t="s">
        <v>14</v>
      </c>
      <c r="P137" t="s">
        <v>9</v>
      </c>
      <c r="R137">
        <v>0</v>
      </c>
      <c r="S137">
        <v>1</v>
      </c>
      <c r="T137">
        <v>1</v>
      </c>
      <c r="U137">
        <v>2400</v>
      </c>
      <c r="V137">
        <v>2400</v>
      </c>
      <c r="W137">
        <v>2712</v>
      </c>
      <c r="X137">
        <v>212.42</v>
      </c>
      <c r="Y137" t="str">
        <f t="shared" si="2"/>
        <v>Door (General) Install</v>
      </c>
      <c r="Z137">
        <v>2</v>
      </c>
    </row>
    <row r="138" spans="1:26" x14ac:dyDescent="0.2">
      <c r="A138" t="s">
        <v>6</v>
      </c>
      <c r="B138" t="s">
        <v>63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O138" t="s">
        <v>14</v>
      </c>
      <c r="P138" t="s">
        <v>9</v>
      </c>
      <c r="R138">
        <v>0</v>
      </c>
      <c r="S138">
        <v>1</v>
      </c>
      <c r="T138">
        <v>1</v>
      </c>
      <c r="U138">
        <v>2400</v>
      </c>
      <c r="V138">
        <v>2400</v>
      </c>
      <c r="W138">
        <v>2712</v>
      </c>
      <c r="X138">
        <v>341.34</v>
      </c>
      <c r="Y138" t="str">
        <f t="shared" si="2"/>
        <v>Door (General) Install</v>
      </c>
      <c r="Z138">
        <v>3</v>
      </c>
    </row>
    <row r="139" spans="1:26" x14ac:dyDescent="0.2">
      <c r="A139" t="s">
        <v>6</v>
      </c>
      <c r="B139" t="s">
        <v>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O139" t="s">
        <v>14</v>
      </c>
      <c r="P139" t="s">
        <v>9</v>
      </c>
      <c r="R139">
        <v>0</v>
      </c>
      <c r="S139">
        <v>1</v>
      </c>
      <c r="T139">
        <v>1</v>
      </c>
      <c r="U139">
        <v>2400</v>
      </c>
      <c r="V139">
        <v>2400</v>
      </c>
      <c r="W139">
        <v>2712</v>
      </c>
      <c r="X139">
        <v>368.22</v>
      </c>
      <c r="Y139" t="str">
        <f t="shared" si="2"/>
        <v>Door (General) Install</v>
      </c>
      <c r="Z139">
        <v>3</v>
      </c>
    </row>
    <row r="140" spans="1:26" x14ac:dyDescent="0.2">
      <c r="A140" t="s">
        <v>6</v>
      </c>
      <c r="B140" t="s">
        <v>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O140" t="s">
        <v>14</v>
      </c>
      <c r="P140" t="s">
        <v>9</v>
      </c>
      <c r="R140">
        <v>0</v>
      </c>
      <c r="S140">
        <v>1</v>
      </c>
      <c r="T140">
        <v>1</v>
      </c>
      <c r="U140">
        <v>2400</v>
      </c>
      <c r="V140">
        <v>2400</v>
      </c>
      <c r="W140">
        <v>2712</v>
      </c>
      <c r="X140">
        <v>433.17</v>
      </c>
      <c r="Y140" t="str">
        <f t="shared" si="2"/>
        <v>Door (General) Install</v>
      </c>
      <c r="Z140">
        <v>4</v>
      </c>
    </row>
    <row r="141" spans="1:26" x14ac:dyDescent="0.2">
      <c r="A141" t="s">
        <v>6</v>
      </c>
      <c r="B141" t="s">
        <v>63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O141" t="s">
        <v>14</v>
      </c>
      <c r="P141" t="s">
        <v>9</v>
      </c>
      <c r="R141">
        <v>0</v>
      </c>
      <c r="S141">
        <v>1</v>
      </c>
      <c r="T141">
        <v>1</v>
      </c>
      <c r="U141">
        <v>2400</v>
      </c>
      <c r="V141">
        <v>2400</v>
      </c>
      <c r="W141">
        <v>2712</v>
      </c>
      <c r="X141">
        <v>491.9</v>
      </c>
      <c r="Y141" t="str">
        <f t="shared" si="2"/>
        <v>Door (General) Install</v>
      </c>
      <c r="Z141">
        <v>4</v>
      </c>
    </row>
    <row r="142" spans="1:26" x14ac:dyDescent="0.2">
      <c r="A142" t="s">
        <v>6</v>
      </c>
      <c r="B142" t="s">
        <v>43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O142" t="s">
        <v>17</v>
      </c>
      <c r="P142" t="s">
        <v>9</v>
      </c>
      <c r="R142">
        <v>0</v>
      </c>
      <c r="S142">
        <v>0</v>
      </c>
      <c r="T142">
        <v>2</v>
      </c>
      <c r="U142">
        <v>4700</v>
      </c>
      <c r="V142">
        <v>4700</v>
      </c>
      <c r="W142">
        <v>5311</v>
      </c>
      <c r="X142">
        <v>56.19</v>
      </c>
      <c r="Z142">
        <v>0</v>
      </c>
    </row>
    <row r="143" spans="1:26" x14ac:dyDescent="0.2">
      <c r="A143" t="s">
        <v>6</v>
      </c>
      <c r="B143" t="s">
        <v>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 t="s">
        <v>197</v>
      </c>
      <c r="O143" t="s">
        <v>38</v>
      </c>
      <c r="P143" t="s">
        <v>9</v>
      </c>
      <c r="R143">
        <v>0</v>
      </c>
      <c r="S143">
        <v>0</v>
      </c>
      <c r="T143">
        <v>1</v>
      </c>
      <c r="U143">
        <v>2350</v>
      </c>
      <c r="V143">
        <v>2350</v>
      </c>
      <c r="W143">
        <v>2655.5</v>
      </c>
      <c r="X143">
        <v>369.23</v>
      </c>
      <c r="Y143" t="str">
        <f t="shared" si="2"/>
        <v>Door (General) Supply &amp; Install</v>
      </c>
      <c r="Z143">
        <v>3</v>
      </c>
    </row>
    <row r="144" spans="1:26" x14ac:dyDescent="0.2">
      <c r="A144" t="s">
        <v>6</v>
      </c>
      <c r="B144" t="s">
        <v>199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 t="s">
        <v>159</v>
      </c>
      <c r="O144" t="s">
        <v>17</v>
      </c>
      <c r="P144" t="s">
        <v>9</v>
      </c>
      <c r="R144">
        <v>0</v>
      </c>
      <c r="S144">
        <v>0</v>
      </c>
      <c r="T144">
        <v>1</v>
      </c>
      <c r="U144">
        <v>2300</v>
      </c>
      <c r="V144">
        <v>2300</v>
      </c>
      <c r="W144">
        <v>2599</v>
      </c>
      <c r="X144">
        <v>55.09</v>
      </c>
      <c r="Z144">
        <v>0</v>
      </c>
    </row>
    <row r="145" spans="1:26" x14ac:dyDescent="0.2">
      <c r="A145" t="s">
        <v>6</v>
      </c>
      <c r="B145" t="s">
        <v>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O145" t="s">
        <v>14</v>
      </c>
      <c r="P145" t="s">
        <v>205</v>
      </c>
      <c r="R145">
        <v>0</v>
      </c>
      <c r="S145">
        <v>1</v>
      </c>
      <c r="T145">
        <v>1</v>
      </c>
      <c r="U145">
        <v>2300</v>
      </c>
      <c r="V145">
        <v>2300</v>
      </c>
      <c r="W145">
        <v>2599</v>
      </c>
      <c r="X145">
        <v>74.41</v>
      </c>
      <c r="Y145" t="str">
        <f t="shared" si="2"/>
        <v>Fire Door Install</v>
      </c>
      <c r="Z145">
        <v>0</v>
      </c>
    </row>
    <row r="146" spans="1:26" x14ac:dyDescent="0.2">
      <c r="A146" t="s">
        <v>6</v>
      </c>
      <c r="B146" t="s">
        <v>46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166</v>
      </c>
      <c r="O146" t="s">
        <v>8</v>
      </c>
      <c r="P146" t="s">
        <v>36</v>
      </c>
      <c r="R146">
        <v>0</v>
      </c>
      <c r="S146">
        <v>0</v>
      </c>
      <c r="T146">
        <v>2</v>
      </c>
      <c r="U146">
        <v>4500</v>
      </c>
      <c r="V146">
        <v>4500</v>
      </c>
      <c r="W146">
        <v>5085</v>
      </c>
      <c r="X146">
        <v>63.41</v>
      </c>
      <c r="Z146">
        <v>0</v>
      </c>
    </row>
    <row r="147" spans="1:26" x14ac:dyDescent="0.2">
      <c r="A147" t="s">
        <v>6</v>
      </c>
      <c r="B147" t="s">
        <v>102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O147" t="s">
        <v>14</v>
      </c>
      <c r="P147" t="s">
        <v>9</v>
      </c>
      <c r="R147">
        <v>0</v>
      </c>
      <c r="S147">
        <v>1</v>
      </c>
      <c r="T147">
        <v>1</v>
      </c>
      <c r="U147">
        <v>2200</v>
      </c>
      <c r="V147">
        <v>2200</v>
      </c>
      <c r="W147">
        <v>2486</v>
      </c>
      <c r="X147">
        <v>115.05</v>
      </c>
      <c r="Y147" t="str">
        <f t="shared" si="2"/>
        <v>Door (General) Install</v>
      </c>
      <c r="Z147">
        <v>1</v>
      </c>
    </row>
    <row r="148" spans="1:26" x14ac:dyDescent="0.2">
      <c r="A148" t="s">
        <v>6</v>
      </c>
      <c r="B148" t="s">
        <v>16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O148" t="s">
        <v>38</v>
      </c>
      <c r="P148" t="s">
        <v>9</v>
      </c>
      <c r="R148">
        <v>0</v>
      </c>
      <c r="S148">
        <v>0</v>
      </c>
      <c r="T148">
        <v>2</v>
      </c>
      <c r="U148">
        <v>2155</v>
      </c>
      <c r="V148">
        <v>4310</v>
      </c>
      <c r="W148">
        <v>4870.3</v>
      </c>
      <c r="X148">
        <v>132.88999999999999</v>
      </c>
      <c r="Y148" t="str">
        <f t="shared" si="2"/>
        <v>Door (General) Supply &amp; Install</v>
      </c>
      <c r="Z148">
        <v>1</v>
      </c>
    </row>
    <row r="149" spans="1:26" x14ac:dyDescent="0.2">
      <c r="A149" t="s">
        <v>6</v>
      </c>
      <c r="B149" t="s">
        <v>91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O149" t="s">
        <v>88</v>
      </c>
      <c r="P149" t="s">
        <v>9</v>
      </c>
      <c r="R149">
        <v>0</v>
      </c>
      <c r="S149">
        <v>0</v>
      </c>
      <c r="T149">
        <v>1</v>
      </c>
      <c r="U149">
        <v>2150</v>
      </c>
      <c r="V149">
        <v>2150</v>
      </c>
      <c r="W149">
        <v>2429.5</v>
      </c>
      <c r="X149">
        <v>66.56</v>
      </c>
      <c r="Z149">
        <v>0</v>
      </c>
    </row>
    <row r="150" spans="1:26" x14ac:dyDescent="0.2">
      <c r="A150" t="s">
        <v>6</v>
      </c>
      <c r="B150" t="s">
        <v>43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O150" t="s">
        <v>38</v>
      </c>
      <c r="P150" t="s">
        <v>9</v>
      </c>
      <c r="R150">
        <v>0</v>
      </c>
      <c r="S150">
        <v>0</v>
      </c>
      <c r="T150">
        <v>1</v>
      </c>
      <c r="U150">
        <v>2125</v>
      </c>
      <c r="V150">
        <v>2125</v>
      </c>
      <c r="W150">
        <v>2401.25</v>
      </c>
      <c r="X150">
        <v>187.75</v>
      </c>
      <c r="Y150" t="str">
        <f t="shared" si="2"/>
        <v>Door (General) Supply &amp; Install</v>
      </c>
      <c r="Z150">
        <v>1</v>
      </c>
    </row>
    <row r="151" spans="1:26" x14ac:dyDescent="0.2">
      <c r="A151" t="s">
        <v>6</v>
      </c>
      <c r="B151" t="s">
        <v>206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 t="s">
        <v>207</v>
      </c>
      <c r="O151" t="s">
        <v>14</v>
      </c>
      <c r="P151" t="s">
        <v>9</v>
      </c>
      <c r="R151">
        <v>0</v>
      </c>
      <c r="S151">
        <v>1</v>
      </c>
      <c r="T151">
        <v>1</v>
      </c>
      <c r="U151">
        <v>2125</v>
      </c>
      <c r="V151">
        <v>2125</v>
      </c>
      <c r="W151">
        <v>2401.25</v>
      </c>
      <c r="X151">
        <v>242.08</v>
      </c>
      <c r="Y151" t="str">
        <f t="shared" si="2"/>
        <v>Door (General) Install</v>
      </c>
      <c r="Z151">
        <v>2</v>
      </c>
    </row>
    <row r="152" spans="1:26" x14ac:dyDescent="0.2">
      <c r="A152" t="s">
        <v>6</v>
      </c>
      <c r="B152" t="s">
        <v>7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O152" t="s">
        <v>8</v>
      </c>
      <c r="P152" t="s">
        <v>9</v>
      </c>
      <c r="R152">
        <v>0</v>
      </c>
      <c r="S152">
        <v>0</v>
      </c>
      <c r="T152">
        <v>1</v>
      </c>
      <c r="U152">
        <v>2100</v>
      </c>
      <c r="V152">
        <v>2100</v>
      </c>
      <c r="W152">
        <v>2373</v>
      </c>
      <c r="X152">
        <v>0.51</v>
      </c>
      <c r="Z152">
        <v>0</v>
      </c>
    </row>
    <row r="153" spans="1:26" x14ac:dyDescent="0.2">
      <c r="A153" t="s">
        <v>10</v>
      </c>
      <c r="B153" t="s">
        <v>69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 t="s">
        <v>208</v>
      </c>
      <c r="O153" t="s">
        <v>14</v>
      </c>
      <c r="P153" t="s">
        <v>9</v>
      </c>
      <c r="R153">
        <v>0</v>
      </c>
      <c r="S153">
        <v>1</v>
      </c>
      <c r="T153">
        <v>1</v>
      </c>
      <c r="U153">
        <v>2100</v>
      </c>
      <c r="V153">
        <v>2100</v>
      </c>
      <c r="W153">
        <v>2373</v>
      </c>
      <c r="X153">
        <v>81.67</v>
      </c>
      <c r="Y153" t="str">
        <f t="shared" si="2"/>
        <v>Door (General) Install</v>
      </c>
      <c r="Z153">
        <v>0</v>
      </c>
    </row>
    <row r="154" spans="1:26" x14ac:dyDescent="0.2">
      <c r="A154" t="s">
        <v>6</v>
      </c>
      <c r="B154" t="s">
        <v>98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 t="s">
        <v>194</v>
      </c>
      <c r="O154" t="s">
        <v>38</v>
      </c>
      <c r="P154" t="s">
        <v>9</v>
      </c>
      <c r="R154">
        <v>0</v>
      </c>
      <c r="S154">
        <v>0</v>
      </c>
      <c r="T154">
        <v>3</v>
      </c>
      <c r="U154">
        <v>2090</v>
      </c>
      <c r="V154">
        <v>6270</v>
      </c>
      <c r="W154">
        <v>7085.1</v>
      </c>
      <c r="X154">
        <v>132.51</v>
      </c>
      <c r="Y154" t="str">
        <f t="shared" si="2"/>
        <v>Door (General) Supply &amp; Install</v>
      </c>
      <c r="Z154">
        <v>1</v>
      </c>
    </row>
    <row r="155" spans="1:26" x14ac:dyDescent="0.2">
      <c r="A155" t="s">
        <v>6</v>
      </c>
      <c r="B155" t="s">
        <v>209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 t="s">
        <v>210</v>
      </c>
      <c r="O155" t="s">
        <v>38</v>
      </c>
      <c r="P155" t="s">
        <v>9</v>
      </c>
      <c r="R155">
        <v>0</v>
      </c>
      <c r="S155">
        <v>0</v>
      </c>
      <c r="T155">
        <v>1</v>
      </c>
      <c r="U155">
        <v>2050</v>
      </c>
      <c r="V155">
        <v>2050</v>
      </c>
      <c r="W155">
        <v>2316.5</v>
      </c>
      <c r="X155">
        <v>38.08</v>
      </c>
      <c r="Y155" t="str">
        <f t="shared" si="2"/>
        <v>Door (General) Supply &amp; Install</v>
      </c>
      <c r="Z155">
        <v>0</v>
      </c>
    </row>
    <row r="156" spans="1:26" x14ac:dyDescent="0.2">
      <c r="A156" t="s">
        <v>42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 t="s">
        <v>180</v>
      </c>
      <c r="O156" t="s">
        <v>15</v>
      </c>
      <c r="P156" t="s">
        <v>9</v>
      </c>
      <c r="R156">
        <v>0</v>
      </c>
      <c r="S156">
        <v>0</v>
      </c>
      <c r="T156">
        <v>2</v>
      </c>
      <c r="U156">
        <v>2040</v>
      </c>
      <c r="V156">
        <v>4080</v>
      </c>
      <c r="W156">
        <v>4610.3999999999996</v>
      </c>
      <c r="X156">
        <v>313.04000000000002</v>
      </c>
      <c r="Z156">
        <v>3</v>
      </c>
    </row>
    <row r="157" spans="1:26" x14ac:dyDescent="0.2">
      <c r="A157" t="s">
        <v>6</v>
      </c>
      <c r="B157" t="s">
        <v>13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 t="s">
        <v>211</v>
      </c>
      <c r="O157" t="s">
        <v>38</v>
      </c>
      <c r="P157" t="s">
        <v>9</v>
      </c>
      <c r="R157">
        <v>0</v>
      </c>
      <c r="S157">
        <v>0</v>
      </c>
      <c r="T157">
        <v>1</v>
      </c>
      <c r="U157">
        <v>2010</v>
      </c>
      <c r="V157">
        <v>2010</v>
      </c>
      <c r="W157">
        <v>2271.3000000000002</v>
      </c>
      <c r="X157">
        <v>186.56</v>
      </c>
      <c r="Y157" t="str">
        <f t="shared" si="2"/>
        <v>Door (General) Supply &amp; Install</v>
      </c>
      <c r="Z157">
        <v>1</v>
      </c>
    </row>
    <row r="158" spans="1:26" x14ac:dyDescent="0.2">
      <c r="A158" t="s">
        <v>6</v>
      </c>
      <c r="B158" t="s">
        <v>67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212</v>
      </c>
      <c r="O158" t="s">
        <v>14</v>
      </c>
      <c r="P158" t="s">
        <v>205</v>
      </c>
      <c r="Q158" t="s">
        <v>146</v>
      </c>
      <c r="R158">
        <v>0</v>
      </c>
      <c r="S158">
        <v>1</v>
      </c>
      <c r="T158">
        <v>1</v>
      </c>
      <c r="U158">
        <v>2000</v>
      </c>
      <c r="V158">
        <v>2000</v>
      </c>
      <c r="W158">
        <v>2260</v>
      </c>
      <c r="X158">
        <v>42.62</v>
      </c>
      <c r="Y158" t="str">
        <f t="shared" si="2"/>
        <v>Fire Door Install</v>
      </c>
      <c r="Z158">
        <v>0</v>
      </c>
    </row>
    <row r="159" spans="1:26" x14ac:dyDescent="0.2">
      <c r="A159" t="s">
        <v>10</v>
      </c>
      <c r="B159" t="s">
        <v>56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O159" t="s">
        <v>14</v>
      </c>
      <c r="P159" t="s">
        <v>9</v>
      </c>
      <c r="R159">
        <v>0</v>
      </c>
      <c r="S159">
        <v>1</v>
      </c>
      <c r="T159">
        <v>1</v>
      </c>
      <c r="U159">
        <v>2000</v>
      </c>
      <c r="V159">
        <v>2000</v>
      </c>
      <c r="W159">
        <v>2260</v>
      </c>
      <c r="X159">
        <v>117.03</v>
      </c>
      <c r="Y159" t="str">
        <f t="shared" si="2"/>
        <v>Door (General) Install</v>
      </c>
      <c r="Z159">
        <v>1</v>
      </c>
    </row>
    <row r="160" spans="1:26" x14ac:dyDescent="0.2">
      <c r="A160" t="s">
        <v>10</v>
      </c>
      <c r="B160" t="s">
        <v>213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O160" t="s">
        <v>14</v>
      </c>
      <c r="P160" t="s">
        <v>9</v>
      </c>
      <c r="R160">
        <v>0</v>
      </c>
      <c r="S160">
        <v>1</v>
      </c>
      <c r="T160">
        <v>1</v>
      </c>
      <c r="U160">
        <v>2000</v>
      </c>
      <c r="V160">
        <v>2000</v>
      </c>
      <c r="W160">
        <v>2260</v>
      </c>
      <c r="X160">
        <v>173.08</v>
      </c>
      <c r="Y160" t="str">
        <f t="shared" si="2"/>
        <v>Door (General) Install</v>
      </c>
      <c r="Z160">
        <v>1</v>
      </c>
    </row>
    <row r="161" spans="1:26" x14ac:dyDescent="0.2">
      <c r="A161" t="s">
        <v>10</v>
      </c>
      <c r="B161" t="s">
        <v>117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O161" t="s">
        <v>14</v>
      </c>
      <c r="P161" t="s">
        <v>9</v>
      </c>
      <c r="R161">
        <v>0</v>
      </c>
      <c r="S161">
        <v>1</v>
      </c>
      <c r="T161">
        <v>1</v>
      </c>
      <c r="U161">
        <v>2000</v>
      </c>
      <c r="V161">
        <v>2000</v>
      </c>
      <c r="W161">
        <v>2260</v>
      </c>
      <c r="X161">
        <v>173.81</v>
      </c>
      <c r="Y161" t="str">
        <f t="shared" si="2"/>
        <v>Door (General) Install</v>
      </c>
      <c r="Z161">
        <v>1</v>
      </c>
    </row>
    <row r="162" spans="1:26" x14ac:dyDescent="0.2">
      <c r="A162" t="s">
        <v>10</v>
      </c>
      <c r="B162" t="s">
        <v>68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O162" t="s">
        <v>133</v>
      </c>
      <c r="P162" t="s">
        <v>205</v>
      </c>
      <c r="R162">
        <v>0</v>
      </c>
      <c r="S162">
        <v>0</v>
      </c>
      <c r="T162">
        <v>1</v>
      </c>
      <c r="U162">
        <v>2000</v>
      </c>
      <c r="V162">
        <v>2000</v>
      </c>
      <c r="W162">
        <v>2260</v>
      </c>
      <c r="X162">
        <v>318.22000000000003</v>
      </c>
      <c r="Z162">
        <v>3</v>
      </c>
    </row>
    <row r="163" spans="1:26" x14ac:dyDescent="0.2">
      <c r="A163" t="s">
        <v>6</v>
      </c>
      <c r="B163" t="s">
        <v>87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O163" t="s">
        <v>14</v>
      </c>
      <c r="P163" t="s">
        <v>9</v>
      </c>
      <c r="R163">
        <v>0</v>
      </c>
      <c r="S163">
        <v>1</v>
      </c>
      <c r="T163">
        <v>1</v>
      </c>
      <c r="U163">
        <v>2000</v>
      </c>
      <c r="V163">
        <v>2000</v>
      </c>
      <c r="W163">
        <v>2260</v>
      </c>
      <c r="X163">
        <v>335.61</v>
      </c>
      <c r="Y163" t="str">
        <f t="shared" si="2"/>
        <v>Door (General) Install</v>
      </c>
      <c r="Z163">
        <v>3</v>
      </c>
    </row>
    <row r="164" spans="1:26" x14ac:dyDescent="0.2">
      <c r="A164" t="s">
        <v>6</v>
      </c>
      <c r="B164" t="s">
        <v>185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 t="s">
        <v>214</v>
      </c>
      <c r="O164" t="s">
        <v>38</v>
      </c>
      <c r="P164" t="s">
        <v>9</v>
      </c>
      <c r="R164">
        <v>0</v>
      </c>
      <c r="S164">
        <v>0</v>
      </c>
      <c r="T164">
        <v>1</v>
      </c>
      <c r="U164">
        <v>1975</v>
      </c>
      <c r="V164">
        <v>1975</v>
      </c>
      <c r="W164">
        <v>2231.75</v>
      </c>
      <c r="X164">
        <v>127.83</v>
      </c>
      <c r="Y164" t="str">
        <f t="shared" si="2"/>
        <v>Door (General) Supply &amp; Install</v>
      </c>
      <c r="Z164">
        <v>1</v>
      </c>
    </row>
    <row r="165" spans="1:26" x14ac:dyDescent="0.2">
      <c r="A165" t="s">
        <v>6</v>
      </c>
      <c r="B165" t="s">
        <v>103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O165" t="s">
        <v>14</v>
      </c>
      <c r="P165" t="s">
        <v>9</v>
      </c>
      <c r="R165">
        <v>0</v>
      </c>
      <c r="S165">
        <v>1</v>
      </c>
      <c r="T165">
        <v>3</v>
      </c>
      <c r="U165">
        <v>1970</v>
      </c>
      <c r="V165">
        <v>5910</v>
      </c>
      <c r="W165">
        <v>6678.3</v>
      </c>
      <c r="X165">
        <v>373.98</v>
      </c>
      <c r="Y165" t="str">
        <f t="shared" si="2"/>
        <v>Door (General) Install</v>
      </c>
      <c r="Z165">
        <v>3</v>
      </c>
    </row>
    <row r="166" spans="1:26" x14ac:dyDescent="0.2">
      <c r="A166" t="s">
        <v>6</v>
      </c>
      <c r="B166" t="s">
        <v>47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 t="s">
        <v>215</v>
      </c>
      <c r="O166" t="s">
        <v>38</v>
      </c>
      <c r="P166" t="s">
        <v>9</v>
      </c>
      <c r="R166">
        <v>0</v>
      </c>
      <c r="S166">
        <v>0</v>
      </c>
      <c r="T166">
        <v>1</v>
      </c>
      <c r="U166">
        <v>1965</v>
      </c>
      <c r="V166">
        <v>1965</v>
      </c>
      <c r="W166">
        <v>2220.4499999999998</v>
      </c>
      <c r="X166">
        <v>231.4</v>
      </c>
      <c r="Y166" t="str">
        <f t="shared" si="2"/>
        <v>Door (General) Supply &amp; Install</v>
      </c>
      <c r="Z166">
        <v>2</v>
      </c>
    </row>
    <row r="167" spans="1:26" x14ac:dyDescent="0.2">
      <c r="A167" t="s">
        <v>6</v>
      </c>
      <c r="B167" t="s">
        <v>46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 t="s">
        <v>216</v>
      </c>
      <c r="O167" t="s">
        <v>38</v>
      </c>
      <c r="P167" t="s">
        <v>9</v>
      </c>
      <c r="R167">
        <v>0</v>
      </c>
      <c r="S167">
        <v>0</v>
      </c>
      <c r="T167">
        <v>1</v>
      </c>
      <c r="U167">
        <v>1960</v>
      </c>
      <c r="V167">
        <v>1960</v>
      </c>
      <c r="W167">
        <v>2214.8000000000002</v>
      </c>
      <c r="X167">
        <v>152.76</v>
      </c>
      <c r="Y167" t="str">
        <f t="shared" si="2"/>
        <v>Door (General) Supply &amp; Install</v>
      </c>
      <c r="Z167">
        <v>1</v>
      </c>
    </row>
    <row r="168" spans="1:26" x14ac:dyDescent="0.2">
      <c r="A168" t="s">
        <v>6</v>
      </c>
      <c r="B168" t="s">
        <v>30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 t="s">
        <v>197</v>
      </c>
      <c r="O168" t="s">
        <v>38</v>
      </c>
      <c r="P168" t="s">
        <v>9</v>
      </c>
      <c r="R168">
        <v>0</v>
      </c>
      <c r="S168">
        <v>0</v>
      </c>
      <c r="T168">
        <v>1</v>
      </c>
      <c r="U168">
        <v>1955</v>
      </c>
      <c r="V168">
        <v>1955</v>
      </c>
      <c r="W168">
        <v>2209.15</v>
      </c>
      <c r="X168">
        <v>231.4</v>
      </c>
      <c r="Y168" t="str">
        <f t="shared" si="2"/>
        <v>Door (General) Supply &amp; Install</v>
      </c>
      <c r="Z168">
        <v>2</v>
      </c>
    </row>
    <row r="169" spans="1:26" x14ac:dyDescent="0.2">
      <c r="A169" t="s">
        <v>6</v>
      </c>
      <c r="B169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 t="s">
        <v>197</v>
      </c>
      <c r="O169" t="s">
        <v>15</v>
      </c>
      <c r="P169" t="s">
        <v>9</v>
      </c>
      <c r="R169">
        <v>0</v>
      </c>
      <c r="S169">
        <v>0</v>
      </c>
      <c r="T169">
        <v>1</v>
      </c>
      <c r="U169">
        <v>1955</v>
      </c>
      <c r="V169">
        <v>1955</v>
      </c>
      <c r="W169">
        <v>2209.15</v>
      </c>
      <c r="X169">
        <v>231.4</v>
      </c>
      <c r="Z169">
        <v>2</v>
      </c>
    </row>
    <row r="170" spans="1:26" x14ac:dyDescent="0.2">
      <c r="A170" t="s">
        <v>6</v>
      </c>
      <c r="B170" t="s">
        <v>74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O170" t="s">
        <v>14</v>
      </c>
      <c r="P170" t="s">
        <v>9</v>
      </c>
      <c r="Q170" t="s">
        <v>12</v>
      </c>
      <c r="R170">
        <v>0</v>
      </c>
      <c r="S170">
        <v>1</v>
      </c>
      <c r="T170">
        <v>1</v>
      </c>
      <c r="U170">
        <v>1950</v>
      </c>
      <c r="V170">
        <v>1950</v>
      </c>
      <c r="W170">
        <v>2203.5</v>
      </c>
      <c r="X170">
        <v>50.45</v>
      </c>
      <c r="Y170" t="str">
        <f t="shared" si="2"/>
        <v>Door (General) Install</v>
      </c>
      <c r="Z170">
        <v>0</v>
      </c>
    </row>
    <row r="171" spans="1:26" x14ac:dyDescent="0.2">
      <c r="A171" t="s">
        <v>6</v>
      </c>
      <c r="B171" t="s">
        <v>86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 t="s">
        <v>197</v>
      </c>
      <c r="O171" t="s">
        <v>38</v>
      </c>
      <c r="P171" t="s">
        <v>9</v>
      </c>
      <c r="R171">
        <v>0</v>
      </c>
      <c r="S171">
        <v>0</v>
      </c>
      <c r="T171">
        <v>1</v>
      </c>
      <c r="U171">
        <v>1950</v>
      </c>
      <c r="V171">
        <v>1950</v>
      </c>
      <c r="W171">
        <v>2203.5</v>
      </c>
      <c r="X171">
        <v>225.26</v>
      </c>
      <c r="Y171" t="str">
        <f t="shared" si="2"/>
        <v>Door (General) Supply &amp; Install</v>
      </c>
      <c r="Z171">
        <v>2</v>
      </c>
    </row>
    <row r="172" spans="1:26" x14ac:dyDescent="0.2">
      <c r="A172" t="s">
        <v>6</v>
      </c>
      <c r="B172" t="s">
        <v>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 t="s">
        <v>197</v>
      </c>
      <c r="O172" t="s">
        <v>38</v>
      </c>
      <c r="P172" t="s">
        <v>9</v>
      </c>
      <c r="R172">
        <v>0</v>
      </c>
      <c r="S172">
        <v>0</v>
      </c>
      <c r="T172">
        <v>1</v>
      </c>
      <c r="U172">
        <v>1950</v>
      </c>
      <c r="V172">
        <v>1950</v>
      </c>
      <c r="W172">
        <v>2203.5</v>
      </c>
      <c r="X172">
        <v>226.51</v>
      </c>
      <c r="Y172" t="str">
        <f t="shared" si="2"/>
        <v>Door (General) Supply &amp; Install</v>
      </c>
      <c r="Z172">
        <v>2</v>
      </c>
    </row>
    <row r="173" spans="1:26" x14ac:dyDescent="0.2">
      <c r="A173" t="s">
        <v>10</v>
      </c>
      <c r="B173" t="s">
        <v>181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O173" t="s">
        <v>14</v>
      </c>
      <c r="P173" t="s">
        <v>25</v>
      </c>
      <c r="R173">
        <v>0</v>
      </c>
      <c r="S173">
        <v>1</v>
      </c>
      <c r="T173">
        <v>1</v>
      </c>
      <c r="U173">
        <v>1837</v>
      </c>
      <c r="V173">
        <v>1837</v>
      </c>
      <c r="W173">
        <v>2075.81</v>
      </c>
      <c r="X173">
        <v>807.32</v>
      </c>
      <c r="Y173" t="str">
        <f t="shared" si="2"/>
        <v>High Speed Door Install</v>
      </c>
      <c r="Z173">
        <v>5</v>
      </c>
    </row>
    <row r="174" spans="1:26" x14ac:dyDescent="0.2">
      <c r="A174" t="s">
        <v>6</v>
      </c>
      <c r="B174" t="s">
        <v>103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O174" t="s">
        <v>14</v>
      </c>
      <c r="P174" t="s">
        <v>9</v>
      </c>
      <c r="R174">
        <v>0</v>
      </c>
      <c r="S174">
        <v>1</v>
      </c>
      <c r="T174">
        <v>2</v>
      </c>
      <c r="U174">
        <v>1810</v>
      </c>
      <c r="V174">
        <v>3620</v>
      </c>
      <c r="W174">
        <v>4090.6</v>
      </c>
      <c r="X174">
        <v>159</v>
      </c>
      <c r="Y174" t="str">
        <f t="shared" si="2"/>
        <v>Door (General) Install</v>
      </c>
      <c r="Z174">
        <v>1</v>
      </c>
    </row>
    <row r="175" spans="1:26" x14ac:dyDescent="0.2">
      <c r="A175" t="s">
        <v>6</v>
      </c>
      <c r="B175" t="s">
        <v>85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O175" t="s">
        <v>14</v>
      </c>
      <c r="P175" t="s">
        <v>9</v>
      </c>
      <c r="R175">
        <v>0</v>
      </c>
      <c r="S175">
        <v>1</v>
      </c>
      <c r="T175">
        <v>1</v>
      </c>
      <c r="U175">
        <v>1800</v>
      </c>
      <c r="V175">
        <v>1800</v>
      </c>
      <c r="W175">
        <v>2034</v>
      </c>
      <c r="X175">
        <v>58.84</v>
      </c>
      <c r="Y175" t="str">
        <f t="shared" si="2"/>
        <v>Door (General) Install</v>
      </c>
      <c r="Z175">
        <v>0</v>
      </c>
    </row>
    <row r="176" spans="1:26" x14ac:dyDescent="0.2">
      <c r="A176" t="s">
        <v>10</v>
      </c>
      <c r="B176" t="s">
        <v>217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O176" t="s">
        <v>14</v>
      </c>
      <c r="P176" t="s">
        <v>9</v>
      </c>
      <c r="R176">
        <v>0</v>
      </c>
      <c r="S176">
        <v>1</v>
      </c>
      <c r="T176">
        <v>1</v>
      </c>
      <c r="U176">
        <v>1800</v>
      </c>
      <c r="V176">
        <v>1800</v>
      </c>
      <c r="W176">
        <v>2034</v>
      </c>
      <c r="X176">
        <v>109</v>
      </c>
      <c r="Y176" t="str">
        <f t="shared" si="2"/>
        <v>Door (General) Install</v>
      </c>
      <c r="Z176">
        <v>1</v>
      </c>
    </row>
    <row r="177" spans="1:26" x14ac:dyDescent="0.2">
      <c r="A177" t="s">
        <v>6</v>
      </c>
      <c r="B177" t="s">
        <v>218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O177" t="s">
        <v>17</v>
      </c>
      <c r="P177" t="s">
        <v>9</v>
      </c>
      <c r="R177">
        <v>0</v>
      </c>
      <c r="S177">
        <v>0</v>
      </c>
      <c r="T177">
        <v>1</v>
      </c>
      <c r="U177">
        <v>1800</v>
      </c>
      <c r="V177">
        <v>1800</v>
      </c>
      <c r="W177">
        <v>2034</v>
      </c>
      <c r="X177">
        <v>163.12</v>
      </c>
      <c r="Z177">
        <v>1</v>
      </c>
    </row>
    <row r="178" spans="1:26" x14ac:dyDescent="0.2">
      <c r="A178" t="s">
        <v>6</v>
      </c>
      <c r="B178" t="s">
        <v>135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O178" t="s">
        <v>17</v>
      </c>
      <c r="P178" t="s">
        <v>9</v>
      </c>
      <c r="R178">
        <v>0</v>
      </c>
      <c r="S178">
        <v>0</v>
      </c>
      <c r="T178">
        <v>1</v>
      </c>
      <c r="U178">
        <v>1800</v>
      </c>
      <c r="V178">
        <v>1800</v>
      </c>
      <c r="W178">
        <v>2034</v>
      </c>
      <c r="X178">
        <v>328</v>
      </c>
      <c r="Z178">
        <v>3</v>
      </c>
    </row>
    <row r="179" spans="1:26" x14ac:dyDescent="0.2">
      <c r="A179" t="s">
        <v>6</v>
      </c>
      <c r="B179" t="s">
        <v>136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O179" t="s">
        <v>8</v>
      </c>
      <c r="P179" t="s">
        <v>9</v>
      </c>
      <c r="R179">
        <v>0</v>
      </c>
      <c r="S179">
        <v>0</v>
      </c>
      <c r="T179">
        <v>1</v>
      </c>
      <c r="U179">
        <v>1800</v>
      </c>
      <c r="V179">
        <v>1800</v>
      </c>
      <c r="W179">
        <v>2034</v>
      </c>
      <c r="X179">
        <v>329.07</v>
      </c>
      <c r="Z179">
        <v>3</v>
      </c>
    </row>
    <row r="180" spans="1:26" x14ac:dyDescent="0.2">
      <c r="A180" t="s">
        <v>6</v>
      </c>
      <c r="B180" t="s">
        <v>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 t="s">
        <v>216</v>
      </c>
      <c r="O180" t="s">
        <v>38</v>
      </c>
      <c r="P180" t="s">
        <v>9</v>
      </c>
      <c r="R180">
        <v>0</v>
      </c>
      <c r="S180">
        <v>0</v>
      </c>
      <c r="T180">
        <v>1</v>
      </c>
      <c r="U180">
        <v>1760</v>
      </c>
      <c r="V180">
        <v>1760</v>
      </c>
      <c r="W180">
        <v>1988.8</v>
      </c>
      <c r="X180">
        <v>168</v>
      </c>
      <c r="Y180" t="str">
        <f t="shared" si="2"/>
        <v>Door (General) Supply &amp; Install</v>
      </c>
      <c r="Z180">
        <v>1</v>
      </c>
    </row>
    <row r="181" spans="1:26" x14ac:dyDescent="0.2">
      <c r="A181" t="s">
        <v>10</v>
      </c>
      <c r="B181" t="s">
        <v>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O181" t="s">
        <v>14</v>
      </c>
      <c r="P181" t="s">
        <v>9</v>
      </c>
      <c r="R181">
        <v>0</v>
      </c>
      <c r="S181">
        <v>1</v>
      </c>
      <c r="T181">
        <v>14</v>
      </c>
      <c r="U181">
        <v>1700</v>
      </c>
      <c r="V181">
        <v>23800</v>
      </c>
      <c r="W181">
        <v>26894</v>
      </c>
      <c r="X181">
        <v>51.84</v>
      </c>
      <c r="Y181" t="str">
        <f t="shared" si="2"/>
        <v>Door (General) Install</v>
      </c>
      <c r="Z181">
        <v>0</v>
      </c>
    </row>
    <row r="182" spans="1:26" x14ac:dyDescent="0.2">
      <c r="A182" t="s">
        <v>10</v>
      </c>
      <c r="B182" t="s">
        <v>219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O182" t="s">
        <v>14</v>
      </c>
      <c r="P182" t="s">
        <v>9</v>
      </c>
      <c r="Q182" t="s">
        <v>12</v>
      </c>
      <c r="R182">
        <v>0</v>
      </c>
      <c r="S182">
        <v>1</v>
      </c>
      <c r="T182">
        <v>4</v>
      </c>
      <c r="U182">
        <v>6800</v>
      </c>
      <c r="V182">
        <v>6800</v>
      </c>
      <c r="W182">
        <v>7684</v>
      </c>
      <c r="X182">
        <v>52</v>
      </c>
      <c r="Y182" t="str">
        <f t="shared" si="2"/>
        <v>Door (General) Install</v>
      </c>
      <c r="Z182">
        <v>0</v>
      </c>
    </row>
    <row r="183" spans="1:26" x14ac:dyDescent="0.2">
      <c r="A183" t="s">
        <v>6</v>
      </c>
      <c r="B183" t="s">
        <v>100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O183" t="s">
        <v>14</v>
      </c>
      <c r="P183" t="s">
        <v>9</v>
      </c>
      <c r="R183">
        <v>0</v>
      </c>
      <c r="S183">
        <v>1</v>
      </c>
      <c r="T183">
        <v>1</v>
      </c>
      <c r="U183">
        <v>1700</v>
      </c>
      <c r="V183">
        <v>1700</v>
      </c>
      <c r="W183">
        <v>1921</v>
      </c>
      <c r="X183">
        <v>93.4</v>
      </c>
      <c r="Y183" t="str">
        <f t="shared" si="2"/>
        <v>Door (General) Install</v>
      </c>
      <c r="Z183">
        <v>0</v>
      </c>
    </row>
    <row r="184" spans="1:26" x14ac:dyDescent="0.2">
      <c r="A184" t="s">
        <v>6</v>
      </c>
      <c r="B184" t="s">
        <v>140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O184" t="s">
        <v>38</v>
      </c>
      <c r="P184" t="s">
        <v>9</v>
      </c>
      <c r="R184">
        <v>0</v>
      </c>
      <c r="S184">
        <v>0</v>
      </c>
      <c r="T184">
        <v>2</v>
      </c>
      <c r="U184">
        <v>1690</v>
      </c>
      <c r="V184">
        <v>3380</v>
      </c>
      <c r="W184">
        <v>3819.4</v>
      </c>
      <c r="X184">
        <v>417.21</v>
      </c>
      <c r="Y184" t="str">
        <f t="shared" si="2"/>
        <v>Door (General) Supply &amp; Install</v>
      </c>
      <c r="Z184">
        <v>4</v>
      </c>
    </row>
    <row r="185" spans="1:26" x14ac:dyDescent="0.2">
      <c r="A185" t="s">
        <v>10</v>
      </c>
      <c r="B185" t="s">
        <v>181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O185" t="s">
        <v>14</v>
      </c>
      <c r="P185" t="s">
        <v>9</v>
      </c>
      <c r="R185">
        <v>0</v>
      </c>
      <c r="S185">
        <v>1</v>
      </c>
      <c r="T185">
        <v>1</v>
      </c>
      <c r="U185">
        <v>1690</v>
      </c>
      <c r="V185">
        <v>1690</v>
      </c>
      <c r="W185">
        <v>1909.7</v>
      </c>
      <c r="X185">
        <v>800</v>
      </c>
      <c r="Y185" t="str">
        <f t="shared" si="2"/>
        <v>Door (General) Install</v>
      </c>
      <c r="Z185">
        <v>5</v>
      </c>
    </row>
    <row r="186" spans="1:26" x14ac:dyDescent="0.2">
      <c r="A186" t="s">
        <v>42</v>
      </c>
      <c r="B186" t="s">
        <v>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O186" t="s">
        <v>132</v>
      </c>
      <c r="P186" t="s">
        <v>9</v>
      </c>
      <c r="R186">
        <v>0</v>
      </c>
      <c r="S186">
        <v>0</v>
      </c>
      <c r="T186">
        <v>1</v>
      </c>
      <c r="U186">
        <v>1675</v>
      </c>
      <c r="V186">
        <v>1675</v>
      </c>
      <c r="W186">
        <v>1892.75</v>
      </c>
      <c r="X186">
        <v>281.95999999999998</v>
      </c>
      <c r="Z186">
        <v>2</v>
      </c>
    </row>
    <row r="187" spans="1:26" x14ac:dyDescent="0.2">
      <c r="A187" t="s">
        <v>10</v>
      </c>
      <c r="B187" t="s">
        <v>220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O187" t="s">
        <v>14</v>
      </c>
      <c r="P187" t="s">
        <v>205</v>
      </c>
      <c r="Q187" t="s">
        <v>146</v>
      </c>
      <c r="R187">
        <v>0</v>
      </c>
      <c r="S187">
        <v>1</v>
      </c>
      <c r="T187">
        <v>2</v>
      </c>
      <c r="U187">
        <v>3250</v>
      </c>
      <c r="V187">
        <v>3250</v>
      </c>
      <c r="W187">
        <v>3672.5</v>
      </c>
      <c r="X187">
        <v>8.98</v>
      </c>
      <c r="Y187" t="str">
        <f t="shared" si="2"/>
        <v>Fire Door Install</v>
      </c>
      <c r="Z187">
        <v>0</v>
      </c>
    </row>
    <row r="188" spans="1:26" x14ac:dyDescent="0.2">
      <c r="A188" t="s">
        <v>10</v>
      </c>
      <c r="B188" t="s">
        <v>126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O188" t="s">
        <v>14</v>
      </c>
      <c r="P188" t="s">
        <v>9</v>
      </c>
      <c r="Q188" t="s">
        <v>12</v>
      </c>
      <c r="R188">
        <v>0</v>
      </c>
      <c r="S188">
        <v>1</v>
      </c>
      <c r="T188">
        <v>6</v>
      </c>
      <c r="U188">
        <v>9700</v>
      </c>
      <c r="V188">
        <v>9700</v>
      </c>
      <c r="W188">
        <v>10961</v>
      </c>
      <c r="X188">
        <v>211.68</v>
      </c>
      <c r="Y188" t="str">
        <f t="shared" si="2"/>
        <v>Door (General) Install</v>
      </c>
      <c r="Z188">
        <v>2</v>
      </c>
    </row>
    <row r="189" spans="1:26" x14ac:dyDescent="0.2">
      <c r="A189" t="s">
        <v>6</v>
      </c>
      <c r="B189" t="s">
        <v>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O189" t="s">
        <v>38</v>
      </c>
      <c r="P189" t="s">
        <v>9</v>
      </c>
      <c r="Q189" t="s">
        <v>221</v>
      </c>
      <c r="R189">
        <v>0</v>
      </c>
      <c r="S189">
        <v>0</v>
      </c>
      <c r="T189">
        <v>2</v>
      </c>
      <c r="U189">
        <v>1610</v>
      </c>
      <c r="V189">
        <v>3220</v>
      </c>
      <c r="W189">
        <v>3638.6</v>
      </c>
      <c r="X189">
        <v>222</v>
      </c>
      <c r="Y189" t="str">
        <f t="shared" si="2"/>
        <v>Door (General) Supply &amp; Install</v>
      </c>
      <c r="Z189">
        <v>2</v>
      </c>
    </row>
    <row r="190" spans="1:26" x14ac:dyDescent="0.2">
      <c r="A190" t="s">
        <v>6</v>
      </c>
      <c r="B190" t="s">
        <v>62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 t="s">
        <v>166</v>
      </c>
      <c r="O190" t="s">
        <v>8</v>
      </c>
      <c r="P190" t="s">
        <v>9</v>
      </c>
      <c r="R190">
        <v>0</v>
      </c>
      <c r="S190">
        <v>0</v>
      </c>
      <c r="T190">
        <v>1</v>
      </c>
      <c r="U190">
        <v>1600</v>
      </c>
      <c r="V190">
        <v>1600</v>
      </c>
      <c r="W190">
        <v>1808</v>
      </c>
      <c r="X190">
        <v>50</v>
      </c>
      <c r="Z190">
        <v>0</v>
      </c>
    </row>
    <row r="191" spans="1:26" x14ac:dyDescent="0.2">
      <c r="A191" t="s">
        <v>10</v>
      </c>
      <c r="B191" t="s">
        <v>86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0</v>
      </c>
      <c r="O191" t="s">
        <v>8</v>
      </c>
      <c r="P191" t="s">
        <v>9</v>
      </c>
      <c r="R191">
        <v>0</v>
      </c>
      <c r="S191">
        <v>0</v>
      </c>
      <c r="T191">
        <v>11</v>
      </c>
      <c r="U191">
        <v>1600</v>
      </c>
      <c r="V191">
        <v>17600</v>
      </c>
      <c r="W191">
        <v>19888</v>
      </c>
      <c r="X191">
        <v>59.08</v>
      </c>
      <c r="Z191">
        <v>0</v>
      </c>
    </row>
    <row r="192" spans="1:26" x14ac:dyDescent="0.2">
      <c r="A192" t="s">
        <v>6</v>
      </c>
      <c r="B192" t="s">
        <v>47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O192" t="s">
        <v>14</v>
      </c>
      <c r="P192" t="s">
        <v>9</v>
      </c>
      <c r="Q192" t="s">
        <v>12</v>
      </c>
      <c r="R192">
        <v>0</v>
      </c>
      <c r="S192">
        <v>1</v>
      </c>
      <c r="T192">
        <v>1</v>
      </c>
      <c r="U192">
        <v>1600</v>
      </c>
      <c r="V192">
        <v>1600</v>
      </c>
      <c r="W192">
        <v>1808</v>
      </c>
      <c r="X192">
        <v>76.45</v>
      </c>
      <c r="Y192" t="str">
        <f t="shared" si="2"/>
        <v>Door (General) Install</v>
      </c>
      <c r="Z192">
        <v>0</v>
      </c>
    </row>
    <row r="193" spans="1:26" x14ac:dyDescent="0.2">
      <c r="A193" t="s">
        <v>6</v>
      </c>
      <c r="B193" t="s">
        <v>53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 t="s">
        <v>212</v>
      </c>
      <c r="O193" t="s">
        <v>14</v>
      </c>
      <c r="P193" t="s">
        <v>9</v>
      </c>
      <c r="Q193" t="s">
        <v>12</v>
      </c>
      <c r="R193">
        <v>0</v>
      </c>
      <c r="S193">
        <v>1</v>
      </c>
      <c r="T193">
        <v>1</v>
      </c>
      <c r="U193">
        <v>1600</v>
      </c>
      <c r="V193">
        <v>1600</v>
      </c>
      <c r="W193">
        <v>1808</v>
      </c>
      <c r="X193">
        <v>122.2</v>
      </c>
      <c r="Y193" t="str">
        <f t="shared" si="2"/>
        <v>Door (General) Install</v>
      </c>
      <c r="Z193">
        <v>1</v>
      </c>
    </row>
    <row r="194" spans="1:26" x14ac:dyDescent="0.2">
      <c r="A194" t="s">
        <v>10</v>
      </c>
      <c r="B194" t="s">
        <v>41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O194" t="s">
        <v>14</v>
      </c>
      <c r="P194" t="s">
        <v>9</v>
      </c>
      <c r="Q194" t="s">
        <v>12</v>
      </c>
      <c r="R194">
        <v>0</v>
      </c>
      <c r="S194">
        <v>1</v>
      </c>
      <c r="T194">
        <v>2</v>
      </c>
      <c r="U194">
        <v>3200</v>
      </c>
      <c r="V194">
        <v>3200</v>
      </c>
      <c r="W194">
        <v>3616</v>
      </c>
      <c r="X194">
        <v>150.99</v>
      </c>
      <c r="Y194" t="str">
        <f t="shared" ref="Y194:Y257" si="3">_xlfn.CONCAT($P194&amp;" "&amp;$O194)</f>
        <v>Door (General) Install</v>
      </c>
      <c r="Z194">
        <v>1</v>
      </c>
    </row>
    <row r="195" spans="1:26" x14ac:dyDescent="0.2">
      <c r="A195" t="s">
        <v>6</v>
      </c>
      <c r="B195" t="s">
        <v>168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O195" t="s">
        <v>14</v>
      </c>
      <c r="P195" t="s">
        <v>9</v>
      </c>
      <c r="R195">
        <v>0</v>
      </c>
      <c r="S195">
        <v>1</v>
      </c>
      <c r="T195">
        <v>1</v>
      </c>
      <c r="U195">
        <v>1600</v>
      </c>
      <c r="V195">
        <v>1600</v>
      </c>
      <c r="W195">
        <v>1808</v>
      </c>
      <c r="X195">
        <v>329.07</v>
      </c>
      <c r="Y195" t="str">
        <f t="shared" si="3"/>
        <v>Door (General) Install</v>
      </c>
      <c r="Z195">
        <v>3</v>
      </c>
    </row>
    <row r="196" spans="1:26" x14ac:dyDescent="0.2">
      <c r="A196" t="s">
        <v>6</v>
      </c>
      <c r="B196" t="s">
        <v>100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 t="s">
        <v>179</v>
      </c>
      <c r="O196" t="s">
        <v>14</v>
      </c>
      <c r="P196" t="s">
        <v>9</v>
      </c>
      <c r="R196">
        <v>0</v>
      </c>
      <c r="S196">
        <v>1</v>
      </c>
      <c r="T196">
        <v>2</v>
      </c>
      <c r="U196">
        <v>1590</v>
      </c>
      <c r="V196">
        <v>3180</v>
      </c>
      <c r="W196">
        <v>3593.4</v>
      </c>
      <c r="X196">
        <v>231.4</v>
      </c>
      <c r="Y196" t="str">
        <f t="shared" si="3"/>
        <v>Door (General) Install</v>
      </c>
      <c r="Z196">
        <v>2</v>
      </c>
    </row>
    <row r="197" spans="1:26" x14ac:dyDescent="0.2">
      <c r="A197" t="s">
        <v>42</v>
      </c>
      <c r="B197" t="s">
        <v>160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O197" t="s">
        <v>24</v>
      </c>
      <c r="P197" t="s">
        <v>9</v>
      </c>
      <c r="R197">
        <v>0</v>
      </c>
      <c r="S197">
        <v>0</v>
      </c>
      <c r="T197">
        <v>1</v>
      </c>
      <c r="U197">
        <v>1550</v>
      </c>
      <c r="V197">
        <v>1550</v>
      </c>
      <c r="W197">
        <v>1751.5</v>
      </c>
      <c r="X197">
        <v>40.54</v>
      </c>
      <c r="Z197">
        <v>0</v>
      </c>
    </row>
    <row r="198" spans="1:26" x14ac:dyDescent="0.2">
      <c r="A198" t="s">
        <v>42</v>
      </c>
      <c r="B198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O198" t="s">
        <v>49</v>
      </c>
      <c r="P198" t="s">
        <v>9</v>
      </c>
      <c r="R198">
        <v>0</v>
      </c>
      <c r="S198">
        <v>0</v>
      </c>
      <c r="T198">
        <v>1</v>
      </c>
      <c r="U198">
        <v>1550</v>
      </c>
      <c r="V198">
        <v>1550</v>
      </c>
      <c r="W198">
        <v>1751.5</v>
      </c>
      <c r="X198">
        <v>108</v>
      </c>
      <c r="Z198">
        <v>1</v>
      </c>
    </row>
    <row r="199" spans="1:26" x14ac:dyDescent="0.2">
      <c r="A199" t="s">
        <v>6</v>
      </c>
      <c r="B199" t="s">
        <v>43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 t="s">
        <v>222</v>
      </c>
      <c r="O199" t="s">
        <v>38</v>
      </c>
      <c r="P199" t="s">
        <v>9</v>
      </c>
      <c r="R199">
        <v>0</v>
      </c>
      <c r="S199">
        <v>0</v>
      </c>
      <c r="T199">
        <v>1</v>
      </c>
      <c r="U199">
        <v>1550</v>
      </c>
      <c r="V199">
        <v>1550</v>
      </c>
      <c r="W199">
        <v>1751.5</v>
      </c>
      <c r="X199">
        <v>234</v>
      </c>
      <c r="Y199" t="str">
        <f t="shared" si="3"/>
        <v>Door (General) Supply &amp; Install</v>
      </c>
      <c r="Z199">
        <v>2</v>
      </c>
    </row>
    <row r="200" spans="1:26" x14ac:dyDescent="0.2">
      <c r="A200" t="s">
        <v>6</v>
      </c>
      <c r="B200" t="s">
        <v>57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 t="s">
        <v>216</v>
      </c>
      <c r="O200" t="s">
        <v>38</v>
      </c>
      <c r="P200" t="s">
        <v>9</v>
      </c>
      <c r="R200">
        <v>0</v>
      </c>
      <c r="S200">
        <v>0</v>
      </c>
      <c r="T200">
        <v>1</v>
      </c>
      <c r="U200">
        <v>1550</v>
      </c>
      <c r="V200">
        <v>1550</v>
      </c>
      <c r="W200">
        <v>1751.5</v>
      </c>
      <c r="X200">
        <v>248.31</v>
      </c>
      <c r="Y200" t="str">
        <f t="shared" si="3"/>
        <v>Door (General) Supply &amp; Install</v>
      </c>
      <c r="Z200">
        <v>2</v>
      </c>
    </row>
    <row r="201" spans="1:26" x14ac:dyDescent="0.2">
      <c r="A201" t="s">
        <v>10</v>
      </c>
      <c r="B201" t="s">
        <v>185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O201" t="s">
        <v>14</v>
      </c>
      <c r="P201" t="s">
        <v>9</v>
      </c>
      <c r="R201">
        <v>0</v>
      </c>
      <c r="S201">
        <v>1</v>
      </c>
      <c r="T201">
        <v>2</v>
      </c>
      <c r="U201">
        <v>1500</v>
      </c>
      <c r="V201">
        <v>3000</v>
      </c>
      <c r="W201">
        <v>3390</v>
      </c>
      <c r="X201">
        <v>17</v>
      </c>
      <c r="Y201" t="str">
        <f t="shared" si="3"/>
        <v>Door (General) Install</v>
      </c>
      <c r="Z201">
        <v>0</v>
      </c>
    </row>
    <row r="202" spans="1:26" x14ac:dyDescent="0.2">
      <c r="A202" t="s">
        <v>10</v>
      </c>
      <c r="B202" t="s">
        <v>223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  <c r="O202" t="s">
        <v>17</v>
      </c>
      <c r="P202" t="s">
        <v>9</v>
      </c>
      <c r="Q202" t="s">
        <v>12</v>
      </c>
      <c r="R202">
        <v>0</v>
      </c>
      <c r="S202">
        <v>0</v>
      </c>
      <c r="T202">
        <v>2</v>
      </c>
      <c r="U202">
        <v>1500</v>
      </c>
      <c r="V202">
        <v>3000</v>
      </c>
      <c r="W202">
        <v>3390</v>
      </c>
      <c r="X202">
        <v>23</v>
      </c>
      <c r="Z202">
        <v>0</v>
      </c>
    </row>
    <row r="203" spans="1:26" x14ac:dyDescent="0.2">
      <c r="A203" t="s">
        <v>10</v>
      </c>
      <c r="B203" t="s">
        <v>35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O203" t="s">
        <v>14</v>
      </c>
      <c r="P203" t="s">
        <v>9</v>
      </c>
      <c r="R203">
        <v>0</v>
      </c>
      <c r="S203">
        <v>1</v>
      </c>
      <c r="T203">
        <v>1</v>
      </c>
      <c r="U203">
        <v>1500</v>
      </c>
      <c r="V203">
        <v>1500</v>
      </c>
      <c r="W203">
        <v>1695</v>
      </c>
      <c r="X203">
        <v>36.799999999999997</v>
      </c>
      <c r="Y203" t="str">
        <f t="shared" si="3"/>
        <v>Door (General) Install</v>
      </c>
      <c r="Z203">
        <v>0</v>
      </c>
    </row>
    <row r="204" spans="1:26" x14ac:dyDescent="0.2">
      <c r="A204" t="s">
        <v>6</v>
      </c>
      <c r="B204" t="s">
        <v>13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O204" t="s">
        <v>8</v>
      </c>
      <c r="P204" t="s">
        <v>9</v>
      </c>
      <c r="Q204" t="s">
        <v>12</v>
      </c>
      <c r="R204">
        <v>0</v>
      </c>
      <c r="S204">
        <v>0</v>
      </c>
      <c r="T204">
        <v>1</v>
      </c>
      <c r="U204">
        <v>1500</v>
      </c>
      <c r="V204">
        <v>1500</v>
      </c>
      <c r="W204">
        <v>1695</v>
      </c>
      <c r="X204">
        <v>45.1</v>
      </c>
      <c r="Z204">
        <v>0</v>
      </c>
    </row>
    <row r="205" spans="1:26" x14ac:dyDescent="0.2">
      <c r="A205" t="s">
        <v>6</v>
      </c>
      <c r="B205" t="s">
        <v>47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O205" t="s">
        <v>17</v>
      </c>
      <c r="P205" t="s">
        <v>9</v>
      </c>
      <c r="R205">
        <v>0</v>
      </c>
      <c r="S205">
        <v>0</v>
      </c>
      <c r="T205">
        <v>1</v>
      </c>
      <c r="U205">
        <v>1500</v>
      </c>
      <c r="V205">
        <v>1500</v>
      </c>
      <c r="W205">
        <v>1695</v>
      </c>
      <c r="X205">
        <v>49.09</v>
      </c>
      <c r="Z205">
        <v>0</v>
      </c>
    </row>
    <row r="206" spans="1:26" x14ac:dyDescent="0.2">
      <c r="A206" t="s">
        <v>6</v>
      </c>
      <c r="B206" t="s">
        <v>16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O206" t="s">
        <v>8</v>
      </c>
      <c r="P206" t="s">
        <v>9</v>
      </c>
      <c r="R206">
        <v>0</v>
      </c>
      <c r="S206">
        <v>0</v>
      </c>
      <c r="T206">
        <v>1</v>
      </c>
      <c r="U206">
        <v>1500</v>
      </c>
      <c r="V206">
        <v>1500</v>
      </c>
      <c r="W206">
        <v>1695</v>
      </c>
      <c r="X206">
        <v>55.09</v>
      </c>
      <c r="Z206">
        <v>0</v>
      </c>
    </row>
    <row r="207" spans="1:26" x14ac:dyDescent="0.2">
      <c r="A207" t="s">
        <v>6</v>
      </c>
      <c r="B207" t="s">
        <v>47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O207" t="s">
        <v>8</v>
      </c>
      <c r="P207" t="s">
        <v>9</v>
      </c>
      <c r="Q207" t="s">
        <v>12</v>
      </c>
      <c r="R207">
        <v>0</v>
      </c>
      <c r="S207">
        <v>0</v>
      </c>
      <c r="T207">
        <v>1</v>
      </c>
      <c r="U207">
        <v>1500</v>
      </c>
      <c r="V207">
        <v>1500</v>
      </c>
      <c r="W207">
        <v>1695</v>
      </c>
      <c r="X207">
        <v>59.68</v>
      </c>
      <c r="Z207">
        <v>0</v>
      </c>
    </row>
    <row r="208" spans="1:26" x14ac:dyDescent="0.2">
      <c r="A208" t="s">
        <v>6</v>
      </c>
      <c r="B208" t="s">
        <v>63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O208" t="s">
        <v>14</v>
      </c>
      <c r="P208" t="s">
        <v>25</v>
      </c>
      <c r="R208">
        <v>0</v>
      </c>
      <c r="S208">
        <v>1</v>
      </c>
      <c r="T208">
        <v>1</v>
      </c>
      <c r="U208">
        <v>1500</v>
      </c>
      <c r="V208">
        <v>1500</v>
      </c>
      <c r="W208">
        <v>1695</v>
      </c>
      <c r="X208">
        <v>59.75</v>
      </c>
      <c r="Y208" t="str">
        <f t="shared" si="3"/>
        <v>High Speed Door Install</v>
      </c>
      <c r="Z208">
        <v>0</v>
      </c>
    </row>
    <row r="209" spans="1:26" x14ac:dyDescent="0.2">
      <c r="A209" t="s">
        <v>10</v>
      </c>
      <c r="B209" t="s">
        <v>187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O209" t="s">
        <v>14</v>
      </c>
      <c r="P209" t="s">
        <v>9</v>
      </c>
      <c r="Q209" t="s">
        <v>12</v>
      </c>
      <c r="R209">
        <v>0</v>
      </c>
      <c r="S209">
        <v>1</v>
      </c>
      <c r="T209">
        <v>1</v>
      </c>
      <c r="U209">
        <v>1500</v>
      </c>
      <c r="V209">
        <v>1500</v>
      </c>
      <c r="W209">
        <v>1695</v>
      </c>
      <c r="X209">
        <v>90.83</v>
      </c>
      <c r="Y209" t="str">
        <f t="shared" si="3"/>
        <v>Door (General) Install</v>
      </c>
      <c r="Z209">
        <v>0</v>
      </c>
    </row>
    <row r="210" spans="1:26" x14ac:dyDescent="0.2">
      <c r="A210" t="s">
        <v>6</v>
      </c>
      <c r="B210" t="s">
        <v>224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O210" t="s">
        <v>88</v>
      </c>
      <c r="Q210" t="s">
        <v>221</v>
      </c>
      <c r="R210">
        <v>0</v>
      </c>
      <c r="S210">
        <v>0</v>
      </c>
      <c r="T210">
        <v>1</v>
      </c>
      <c r="U210">
        <v>1500</v>
      </c>
      <c r="V210">
        <v>1500</v>
      </c>
      <c r="W210">
        <v>1695</v>
      </c>
      <c r="X210">
        <v>91</v>
      </c>
      <c r="Z210">
        <v>0</v>
      </c>
    </row>
    <row r="211" spans="1:26" x14ac:dyDescent="0.2">
      <c r="A211" t="s">
        <v>6</v>
      </c>
      <c r="B211" t="s">
        <v>56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O211" t="s">
        <v>17</v>
      </c>
      <c r="P211" t="s">
        <v>9</v>
      </c>
      <c r="R211">
        <v>0</v>
      </c>
      <c r="S211">
        <v>0</v>
      </c>
      <c r="T211">
        <v>1</v>
      </c>
      <c r="U211">
        <v>1500</v>
      </c>
      <c r="V211">
        <v>1500</v>
      </c>
      <c r="W211">
        <v>1695</v>
      </c>
      <c r="X211">
        <v>115.05</v>
      </c>
      <c r="Z211">
        <v>1</v>
      </c>
    </row>
    <row r="212" spans="1:26" x14ac:dyDescent="0.2">
      <c r="A212" t="s">
        <v>6</v>
      </c>
      <c r="B212" t="s">
        <v>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O212" t="s">
        <v>14</v>
      </c>
      <c r="P212" t="s">
        <v>9</v>
      </c>
      <c r="R212">
        <v>0</v>
      </c>
      <c r="S212">
        <v>1</v>
      </c>
      <c r="T212">
        <v>4</v>
      </c>
      <c r="U212">
        <v>6000</v>
      </c>
      <c r="V212">
        <v>6000</v>
      </c>
      <c r="W212">
        <v>6780</v>
      </c>
      <c r="X212">
        <v>126.91</v>
      </c>
      <c r="Y212" t="str">
        <f t="shared" si="3"/>
        <v>Door (General) Install</v>
      </c>
      <c r="Z212">
        <v>1</v>
      </c>
    </row>
    <row r="213" spans="1:26" x14ac:dyDescent="0.2">
      <c r="A213" t="s">
        <v>10</v>
      </c>
      <c r="B213" t="s">
        <v>225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O213" t="s">
        <v>14</v>
      </c>
      <c r="P213" t="s">
        <v>9</v>
      </c>
      <c r="Q213" t="s">
        <v>12</v>
      </c>
      <c r="R213">
        <v>0</v>
      </c>
      <c r="S213">
        <v>1</v>
      </c>
      <c r="T213">
        <v>1</v>
      </c>
      <c r="U213">
        <v>1500</v>
      </c>
      <c r="V213">
        <v>1500</v>
      </c>
      <c r="W213">
        <v>1695</v>
      </c>
      <c r="X213">
        <v>156</v>
      </c>
      <c r="Y213" t="str">
        <f t="shared" si="3"/>
        <v>Door (General) Install</v>
      </c>
      <c r="Z213">
        <v>1</v>
      </c>
    </row>
    <row r="214" spans="1:26" x14ac:dyDescent="0.2">
      <c r="A214" t="s">
        <v>10</v>
      </c>
      <c r="B214" t="s">
        <v>157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0</v>
      </c>
      <c r="O214" t="s">
        <v>14</v>
      </c>
      <c r="P214" t="s">
        <v>9</v>
      </c>
      <c r="R214">
        <v>0</v>
      </c>
      <c r="S214">
        <v>1</v>
      </c>
      <c r="T214">
        <v>1</v>
      </c>
      <c r="U214">
        <v>1500</v>
      </c>
      <c r="V214">
        <v>1500</v>
      </c>
      <c r="W214">
        <v>1695</v>
      </c>
      <c r="X214">
        <v>324</v>
      </c>
      <c r="Y214" t="str">
        <f t="shared" si="3"/>
        <v>Door (General) Install</v>
      </c>
      <c r="Z214">
        <v>3</v>
      </c>
    </row>
    <row r="215" spans="1:26" x14ac:dyDescent="0.2">
      <c r="A215" t="s">
        <v>10</v>
      </c>
      <c r="B215" t="s">
        <v>187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O215" t="s">
        <v>14</v>
      </c>
      <c r="P215" t="s">
        <v>9</v>
      </c>
      <c r="Q215" t="s">
        <v>12</v>
      </c>
      <c r="R215">
        <v>0</v>
      </c>
      <c r="S215">
        <v>1</v>
      </c>
      <c r="T215">
        <v>3</v>
      </c>
      <c r="U215">
        <v>4350</v>
      </c>
      <c r="V215">
        <v>4350</v>
      </c>
      <c r="W215">
        <v>4915.5</v>
      </c>
      <c r="X215">
        <v>90.4</v>
      </c>
      <c r="Y215" t="str">
        <f t="shared" si="3"/>
        <v>Door (General) Install</v>
      </c>
      <c r="Z215">
        <v>0</v>
      </c>
    </row>
    <row r="216" spans="1:26" x14ac:dyDescent="0.2">
      <c r="A216" t="s">
        <v>6</v>
      </c>
      <c r="B216" t="s">
        <v>59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 t="s">
        <v>226</v>
      </c>
      <c r="O216" t="s">
        <v>38</v>
      </c>
      <c r="P216" t="s">
        <v>9</v>
      </c>
      <c r="Q216" t="s">
        <v>221</v>
      </c>
      <c r="R216">
        <v>0</v>
      </c>
      <c r="S216">
        <v>0</v>
      </c>
      <c r="T216">
        <v>3</v>
      </c>
      <c r="U216">
        <v>4280.5</v>
      </c>
      <c r="V216">
        <v>4280.5</v>
      </c>
      <c r="W216">
        <v>4836.9650000000001</v>
      </c>
      <c r="X216">
        <v>254</v>
      </c>
      <c r="Y216" t="str">
        <f t="shared" si="3"/>
        <v>Door (General) Supply &amp; Install</v>
      </c>
      <c r="Z216">
        <v>2</v>
      </c>
    </row>
    <row r="217" spans="1:26" x14ac:dyDescent="0.2">
      <c r="A217" t="s">
        <v>6</v>
      </c>
      <c r="B217" t="s">
        <v>227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O217" t="s">
        <v>14</v>
      </c>
      <c r="P217" t="s">
        <v>9</v>
      </c>
      <c r="R217">
        <v>0</v>
      </c>
      <c r="S217">
        <v>1</v>
      </c>
      <c r="T217">
        <v>1</v>
      </c>
      <c r="U217">
        <v>1400</v>
      </c>
      <c r="V217">
        <v>1400</v>
      </c>
      <c r="W217">
        <v>1582</v>
      </c>
      <c r="X217">
        <v>39.94</v>
      </c>
      <c r="Y217" t="str">
        <f t="shared" si="3"/>
        <v>Door (General) Install</v>
      </c>
      <c r="Z217">
        <v>0</v>
      </c>
    </row>
    <row r="218" spans="1:26" x14ac:dyDescent="0.2">
      <c r="A218" t="s">
        <v>6</v>
      </c>
      <c r="B218" t="s">
        <v>228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O218" t="s">
        <v>14</v>
      </c>
      <c r="P218" t="s">
        <v>9</v>
      </c>
      <c r="Q218" t="s">
        <v>12</v>
      </c>
      <c r="R218">
        <v>0</v>
      </c>
      <c r="S218">
        <v>1</v>
      </c>
      <c r="T218">
        <v>1</v>
      </c>
      <c r="U218">
        <v>1400</v>
      </c>
      <c r="V218">
        <v>1400</v>
      </c>
      <c r="W218">
        <v>1582</v>
      </c>
      <c r="X218">
        <v>46.2</v>
      </c>
      <c r="Y218" t="str">
        <f t="shared" si="3"/>
        <v>Door (General) Install</v>
      </c>
      <c r="Z218">
        <v>0</v>
      </c>
    </row>
    <row r="219" spans="1:26" x14ac:dyDescent="0.2">
      <c r="A219" t="s">
        <v>10</v>
      </c>
      <c r="B219" t="s">
        <v>229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O219" t="s">
        <v>14</v>
      </c>
      <c r="P219" t="s">
        <v>9</v>
      </c>
      <c r="R219">
        <v>0</v>
      </c>
      <c r="S219">
        <v>1</v>
      </c>
      <c r="T219">
        <v>2</v>
      </c>
      <c r="U219">
        <v>1400</v>
      </c>
      <c r="V219">
        <v>2800</v>
      </c>
      <c r="W219">
        <v>3164</v>
      </c>
      <c r="X219">
        <v>51.46</v>
      </c>
      <c r="Y219" t="str">
        <f t="shared" si="3"/>
        <v>Door (General) Install</v>
      </c>
      <c r="Z219">
        <v>0</v>
      </c>
    </row>
    <row r="220" spans="1:26" x14ac:dyDescent="0.2">
      <c r="A220" t="s">
        <v>10</v>
      </c>
      <c r="B220" t="s">
        <v>230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O220" t="s">
        <v>14</v>
      </c>
      <c r="P220" t="s">
        <v>9</v>
      </c>
      <c r="Q220" t="s">
        <v>12</v>
      </c>
      <c r="R220">
        <v>0</v>
      </c>
      <c r="S220">
        <v>1</v>
      </c>
      <c r="T220">
        <v>1</v>
      </c>
      <c r="U220">
        <v>1400</v>
      </c>
      <c r="V220">
        <v>1400</v>
      </c>
      <c r="W220">
        <v>1582</v>
      </c>
      <c r="X220">
        <v>67.23</v>
      </c>
      <c r="Y220" t="str">
        <f t="shared" si="3"/>
        <v>Door (General) Install</v>
      </c>
      <c r="Z220">
        <v>0</v>
      </c>
    </row>
    <row r="221" spans="1:26" x14ac:dyDescent="0.2">
      <c r="A221" t="s">
        <v>10</v>
      </c>
      <c r="B221" t="s">
        <v>174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0</v>
      </c>
      <c r="O221" t="s">
        <v>14</v>
      </c>
      <c r="P221" t="s">
        <v>9</v>
      </c>
      <c r="R221">
        <v>0</v>
      </c>
      <c r="S221">
        <v>1</v>
      </c>
      <c r="T221">
        <v>1</v>
      </c>
      <c r="U221">
        <v>1400</v>
      </c>
      <c r="V221">
        <v>1400</v>
      </c>
      <c r="W221">
        <v>1582</v>
      </c>
      <c r="X221">
        <v>67.23</v>
      </c>
      <c r="Y221" t="str">
        <f t="shared" si="3"/>
        <v>Door (General) Install</v>
      </c>
      <c r="Z221">
        <v>0</v>
      </c>
    </row>
    <row r="222" spans="1:26" x14ac:dyDescent="0.2">
      <c r="A222" t="s">
        <v>6</v>
      </c>
      <c r="B222" t="s">
        <v>184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O222" t="s">
        <v>14</v>
      </c>
      <c r="P222" t="s">
        <v>9</v>
      </c>
      <c r="R222">
        <v>0</v>
      </c>
      <c r="S222">
        <v>1</v>
      </c>
      <c r="T222">
        <v>2</v>
      </c>
      <c r="U222">
        <v>2800</v>
      </c>
      <c r="V222">
        <v>2800</v>
      </c>
      <c r="W222">
        <v>3164</v>
      </c>
      <c r="X222">
        <v>78.73</v>
      </c>
      <c r="Y222" t="str">
        <f t="shared" si="3"/>
        <v>Door (General) Install</v>
      </c>
      <c r="Z222">
        <v>0</v>
      </c>
    </row>
    <row r="223" spans="1:26" x14ac:dyDescent="0.2">
      <c r="A223" t="s">
        <v>10</v>
      </c>
      <c r="B223" t="s">
        <v>231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O223" t="s">
        <v>14</v>
      </c>
      <c r="P223" t="s">
        <v>205</v>
      </c>
      <c r="R223">
        <v>0</v>
      </c>
      <c r="S223">
        <v>1</v>
      </c>
      <c r="T223">
        <v>1</v>
      </c>
      <c r="U223">
        <v>1375</v>
      </c>
      <c r="V223">
        <v>1375</v>
      </c>
      <c r="W223">
        <v>1553.75</v>
      </c>
      <c r="X223">
        <v>43</v>
      </c>
      <c r="Y223" t="str">
        <f t="shared" si="3"/>
        <v>Fire Door Install</v>
      </c>
      <c r="Z223">
        <v>0</v>
      </c>
    </row>
    <row r="224" spans="1:26" x14ac:dyDescent="0.2">
      <c r="A224" t="s">
        <v>10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O224" t="s">
        <v>14</v>
      </c>
      <c r="P224" t="s">
        <v>9</v>
      </c>
      <c r="R224">
        <v>0</v>
      </c>
      <c r="S224">
        <v>1</v>
      </c>
      <c r="T224">
        <v>3</v>
      </c>
      <c r="U224">
        <v>1375</v>
      </c>
      <c r="V224">
        <v>4125</v>
      </c>
      <c r="W224">
        <v>4661.25</v>
      </c>
      <c r="X224">
        <v>62.6</v>
      </c>
      <c r="Y224" t="str">
        <f t="shared" si="3"/>
        <v>Door (General) Install</v>
      </c>
      <c r="Z224">
        <v>0</v>
      </c>
    </row>
    <row r="225" spans="1:26" x14ac:dyDescent="0.2">
      <c r="A225" t="s">
        <v>10</v>
      </c>
      <c r="B225" t="s">
        <v>193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 t="s">
        <v>180</v>
      </c>
      <c r="O225" t="s">
        <v>14</v>
      </c>
      <c r="P225" t="s">
        <v>9</v>
      </c>
      <c r="R225">
        <v>0</v>
      </c>
      <c r="S225">
        <v>1</v>
      </c>
      <c r="T225">
        <v>4</v>
      </c>
      <c r="U225">
        <v>5500</v>
      </c>
      <c r="V225">
        <v>5500</v>
      </c>
      <c r="W225">
        <v>6215</v>
      </c>
      <c r="X225">
        <v>404.55</v>
      </c>
      <c r="Y225" t="str">
        <f t="shared" si="3"/>
        <v>Door (General) Install</v>
      </c>
      <c r="Z225">
        <v>4</v>
      </c>
    </row>
    <row r="226" spans="1:26" x14ac:dyDescent="0.2">
      <c r="A226" t="s">
        <v>10</v>
      </c>
      <c r="B226" t="s">
        <v>63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O226" t="s">
        <v>14</v>
      </c>
      <c r="P226" t="s">
        <v>9</v>
      </c>
      <c r="R226">
        <v>0</v>
      </c>
      <c r="S226">
        <v>1</v>
      </c>
      <c r="T226">
        <v>2</v>
      </c>
      <c r="U226">
        <v>2700</v>
      </c>
      <c r="V226">
        <v>2700</v>
      </c>
      <c r="W226">
        <v>3051</v>
      </c>
      <c r="X226">
        <v>50.18</v>
      </c>
      <c r="Y226" t="str">
        <f t="shared" si="3"/>
        <v>Door (General) Install</v>
      </c>
      <c r="Z226">
        <v>0</v>
      </c>
    </row>
    <row r="227" spans="1:26" x14ac:dyDescent="0.2">
      <c r="A227" t="s">
        <v>10</v>
      </c>
      <c r="B227" t="s">
        <v>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O227" t="s">
        <v>14</v>
      </c>
      <c r="P227" t="s">
        <v>36</v>
      </c>
      <c r="R227">
        <v>0</v>
      </c>
      <c r="S227">
        <v>1</v>
      </c>
      <c r="T227">
        <v>3</v>
      </c>
      <c r="U227">
        <v>4000</v>
      </c>
      <c r="V227">
        <v>4000</v>
      </c>
      <c r="W227">
        <v>4520</v>
      </c>
      <c r="X227">
        <v>20.6</v>
      </c>
      <c r="Y227" t="str">
        <f t="shared" si="3"/>
        <v>Traffic/Crash Door Install</v>
      </c>
      <c r="Z227">
        <v>0</v>
      </c>
    </row>
    <row r="228" spans="1:26" x14ac:dyDescent="0.2">
      <c r="A228" t="s">
        <v>6</v>
      </c>
      <c r="B228" t="s">
        <v>209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O228" t="s">
        <v>14</v>
      </c>
      <c r="P228" t="s">
        <v>9</v>
      </c>
      <c r="R228">
        <v>0</v>
      </c>
      <c r="S228">
        <v>1</v>
      </c>
      <c r="T228">
        <v>1</v>
      </c>
      <c r="U228">
        <v>1300</v>
      </c>
      <c r="V228">
        <v>1300</v>
      </c>
      <c r="W228">
        <v>1469</v>
      </c>
      <c r="X228">
        <v>38</v>
      </c>
      <c r="Y228" t="str">
        <f t="shared" si="3"/>
        <v>Door (General) Install</v>
      </c>
      <c r="Z228">
        <v>0</v>
      </c>
    </row>
    <row r="229" spans="1:26" x14ac:dyDescent="0.2">
      <c r="A229" t="s">
        <v>10</v>
      </c>
      <c r="B229" t="s">
        <v>170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O229" t="s">
        <v>14</v>
      </c>
      <c r="P229" t="s">
        <v>205</v>
      </c>
      <c r="R229">
        <v>0</v>
      </c>
      <c r="S229">
        <v>1</v>
      </c>
      <c r="T229">
        <v>11</v>
      </c>
      <c r="U229">
        <v>1300</v>
      </c>
      <c r="V229">
        <v>14300</v>
      </c>
      <c r="W229">
        <v>16159</v>
      </c>
      <c r="X229">
        <v>76.510000000000005</v>
      </c>
      <c r="Y229" t="str">
        <f t="shared" si="3"/>
        <v>Fire Door Install</v>
      </c>
      <c r="Z229">
        <v>0</v>
      </c>
    </row>
    <row r="230" spans="1:26" x14ac:dyDescent="0.2">
      <c r="A230" t="s">
        <v>10</v>
      </c>
      <c r="B230" t="s">
        <v>119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 t="s">
        <v>233</v>
      </c>
      <c r="O230" t="s">
        <v>14</v>
      </c>
      <c r="P230" t="s">
        <v>9</v>
      </c>
      <c r="R230">
        <v>0</v>
      </c>
      <c r="S230">
        <v>1</v>
      </c>
      <c r="T230">
        <v>1</v>
      </c>
      <c r="U230">
        <v>1300</v>
      </c>
      <c r="V230">
        <v>1300</v>
      </c>
      <c r="W230">
        <v>1469</v>
      </c>
      <c r="X230">
        <v>156.01</v>
      </c>
      <c r="Y230" t="str">
        <f t="shared" si="3"/>
        <v>Door (General) Install</v>
      </c>
      <c r="Z230">
        <v>1</v>
      </c>
    </row>
    <row r="231" spans="1:26" x14ac:dyDescent="0.2">
      <c r="A231" t="s">
        <v>6</v>
      </c>
      <c r="B231" t="s">
        <v>99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 t="s">
        <v>234</v>
      </c>
      <c r="O231" t="s">
        <v>14</v>
      </c>
      <c r="P231" t="s">
        <v>9</v>
      </c>
      <c r="R231">
        <v>0</v>
      </c>
      <c r="S231">
        <v>1</v>
      </c>
      <c r="T231">
        <v>1</v>
      </c>
      <c r="U231">
        <v>1250</v>
      </c>
      <c r="V231">
        <v>1250</v>
      </c>
      <c r="W231">
        <v>1412.5</v>
      </c>
      <c r="X231">
        <v>82</v>
      </c>
      <c r="Y231" t="str">
        <f t="shared" si="3"/>
        <v>Door (General) Install</v>
      </c>
      <c r="Z231">
        <v>0</v>
      </c>
    </row>
    <row r="232" spans="1:26" x14ac:dyDescent="0.2">
      <c r="A232" t="s">
        <v>6</v>
      </c>
      <c r="B232" t="s">
        <v>70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O232" t="s">
        <v>14</v>
      </c>
      <c r="P232" t="s">
        <v>9</v>
      </c>
      <c r="R232">
        <v>0</v>
      </c>
      <c r="S232">
        <v>1</v>
      </c>
      <c r="T232">
        <v>2</v>
      </c>
      <c r="U232">
        <v>2500</v>
      </c>
      <c r="V232">
        <v>2500</v>
      </c>
      <c r="W232">
        <v>2825</v>
      </c>
      <c r="X232">
        <v>117.4</v>
      </c>
      <c r="Y232" t="str">
        <f t="shared" si="3"/>
        <v>Door (General) Install</v>
      </c>
      <c r="Z232">
        <v>1</v>
      </c>
    </row>
    <row r="233" spans="1:26" x14ac:dyDescent="0.2">
      <c r="A233" t="s">
        <v>10</v>
      </c>
      <c r="B233" t="s">
        <v>109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O233" t="s">
        <v>14</v>
      </c>
      <c r="P233" t="s">
        <v>205</v>
      </c>
      <c r="Q233" t="s">
        <v>146</v>
      </c>
      <c r="R233">
        <v>0</v>
      </c>
      <c r="S233">
        <v>1</v>
      </c>
      <c r="T233">
        <v>2</v>
      </c>
      <c r="U233">
        <v>3000</v>
      </c>
      <c r="V233">
        <v>3000</v>
      </c>
      <c r="W233">
        <v>3390</v>
      </c>
      <c r="X233">
        <v>126.01</v>
      </c>
      <c r="Y233" t="str">
        <f t="shared" si="3"/>
        <v>Fire Door Install</v>
      </c>
      <c r="Z233">
        <v>1</v>
      </c>
    </row>
    <row r="234" spans="1:26" x14ac:dyDescent="0.2">
      <c r="A234" t="s">
        <v>6</v>
      </c>
      <c r="B234" t="s">
        <v>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O234" t="s">
        <v>14</v>
      </c>
      <c r="P234" t="s">
        <v>9</v>
      </c>
      <c r="R234">
        <v>0</v>
      </c>
      <c r="S234">
        <v>1</v>
      </c>
      <c r="T234">
        <v>2</v>
      </c>
      <c r="U234">
        <v>1200</v>
      </c>
      <c r="V234">
        <v>2400</v>
      </c>
      <c r="W234">
        <v>2712</v>
      </c>
      <c r="X234">
        <v>19</v>
      </c>
      <c r="Y234" t="str">
        <f t="shared" si="3"/>
        <v>Door (General) Install</v>
      </c>
      <c r="Z234">
        <v>0</v>
      </c>
    </row>
    <row r="235" spans="1:26" x14ac:dyDescent="0.2">
      <c r="A235" t="s">
        <v>6</v>
      </c>
      <c r="B235" t="s">
        <v>70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O235" t="s">
        <v>14</v>
      </c>
      <c r="P235" t="s">
        <v>205</v>
      </c>
      <c r="Q235" t="s">
        <v>146</v>
      </c>
      <c r="R235">
        <v>0</v>
      </c>
      <c r="S235">
        <v>1</v>
      </c>
      <c r="T235">
        <v>1</v>
      </c>
      <c r="U235">
        <v>1200</v>
      </c>
      <c r="V235">
        <v>1200</v>
      </c>
      <c r="W235">
        <v>1356</v>
      </c>
      <c r="X235">
        <v>45.6</v>
      </c>
      <c r="Y235" t="str">
        <f t="shared" si="3"/>
        <v>Fire Door Install</v>
      </c>
      <c r="Z235">
        <v>0</v>
      </c>
    </row>
    <row r="236" spans="1:26" x14ac:dyDescent="0.2">
      <c r="A236" t="s">
        <v>6</v>
      </c>
      <c r="B236" t="s">
        <v>76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166</v>
      </c>
      <c r="O236" t="s">
        <v>14</v>
      </c>
      <c r="P236" t="s">
        <v>25</v>
      </c>
      <c r="R236">
        <v>0</v>
      </c>
      <c r="S236">
        <v>1</v>
      </c>
      <c r="T236">
        <v>1</v>
      </c>
      <c r="U236">
        <v>1200</v>
      </c>
      <c r="V236">
        <v>1200</v>
      </c>
      <c r="W236">
        <v>1356</v>
      </c>
      <c r="X236">
        <v>55.7</v>
      </c>
      <c r="Y236" t="str">
        <f t="shared" si="3"/>
        <v>High Speed Door Install</v>
      </c>
      <c r="Z236">
        <v>0</v>
      </c>
    </row>
    <row r="237" spans="1:26" x14ac:dyDescent="0.2">
      <c r="A237" t="s">
        <v>6</v>
      </c>
      <c r="B237" t="s">
        <v>168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O237" t="s">
        <v>8</v>
      </c>
      <c r="P237" t="s">
        <v>9</v>
      </c>
      <c r="R237">
        <v>0</v>
      </c>
      <c r="S237">
        <v>0</v>
      </c>
      <c r="T237">
        <v>1</v>
      </c>
      <c r="U237">
        <v>1200</v>
      </c>
      <c r="V237">
        <v>1200</v>
      </c>
      <c r="W237">
        <v>1356</v>
      </c>
      <c r="X237">
        <v>58</v>
      </c>
      <c r="Z237">
        <v>0</v>
      </c>
    </row>
    <row r="238" spans="1:26" x14ac:dyDescent="0.2">
      <c r="A238" t="s">
        <v>6</v>
      </c>
      <c r="B238" t="s">
        <v>235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 t="s">
        <v>236</v>
      </c>
      <c r="O238" t="s">
        <v>14</v>
      </c>
      <c r="P238" t="s">
        <v>9</v>
      </c>
      <c r="R238">
        <v>0</v>
      </c>
      <c r="S238">
        <v>1</v>
      </c>
      <c r="T238">
        <v>2</v>
      </c>
      <c r="U238">
        <v>2400</v>
      </c>
      <c r="V238">
        <v>2400</v>
      </c>
      <c r="W238">
        <v>2712</v>
      </c>
      <c r="X238">
        <v>85.44</v>
      </c>
      <c r="Y238" t="str">
        <f t="shared" si="3"/>
        <v>Door (General) Install</v>
      </c>
      <c r="Z238">
        <v>0</v>
      </c>
    </row>
    <row r="239" spans="1:26" x14ac:dyDescent="0.2">
      <c r="A239" t="s">
        <v>6</v>
      </c>
      <c r="B239" t="s">
        <v>87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O239" t="s">
        <v>14</v>
      </c>
      <c r="P239" t="s">
        <v>9</v>
      </c>
      <c r="R239">
        <v>0</v>
      </c>
      <c r="S239">
        <v>1</v>
      </c>
      <c r="T239">
        <v>3</v>
      </c>
      <c r="U239">
        <v>1200</v>
      </c>
      <c r="V239">
        <v>3600</v>
      </c>
      <c r="W239">
        <v>4068</v>
      </c>
      <c r="X239">
        <v>97.32</v>
      </c>
      <c r="Y239" t="str">
        <f t="shared" si="3"/>
        <v>Door (General) Install</v>
      </c>
      <c r="Z239">
        <v>0</v>
      </c>
    </row>
    <row r="240" spans="1:26" x14ac:dyDescent="0.2">
      <c r="A240" t="s">
        <v>10</v>
      </c>
      <c r="B240" t="s">
        <v>213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0</v>
      </c>
      <c r="M240" t="s">
        <v>208</v>
      </c>
      <c r="O240" t="s">
        <v>14</v>
      </c>
      <c r="P240" t="s">
        <v>9</v>
      </c>
      <c r="Q240" t="s">
        <v>12</v>
      </c>
      <c r="R240">
        <v>0</v>
      </c>
      <c r="S240">
        <v>1</v>
      </c>
      <c r="T240">
        <v>2</v>
      </c>
      <c r="U240">
        <v>1200</v>
      </c>
      <c r="V240">
        <v>2400</v>
      </c>
      <c r="W240">
        <v>2712</v>
      </c>
      <c r="X240">
        <v>147.13</v>
      </c>
      <c r="Y240" t="str">
        <f t="shared" si="3"/>
        <v>Door (General) Install</v>
      </c>
      <c r="Z240">
        <v>1</v>
      </c>
    </row>
    <row r="241" spans="1:26" x14ac:dyDescent="0.2">
      <c r="A241" t="s">
        <v>6</v>
      </c>
      <c r="B241" t="s">
        <v>237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O241" t="s">
        <v>14</v>
      </c>
      <c r="P241" t="s">
        <v>9</v>
      </c>
      <c r="R241">
        <v>0</v>
      </c>
      <c r="S241">
        <v>1</v>
      </c>
      <c r="T241">
        <v>1</v>
      </c>
      <c r="U241">
        <v>1200</v>
      </c>
      <c r="V241">
        <v>1200</v>
      </c>
      <c r="W241">
        <v>1356</v>
      </c>
      <c r="X241">
        <v>154</v>
      </c>
      <c r="Y241" t="str">
        <f t="shared" si="3"/>
        <v>Door (General) Install</v>
      </c>
      <c r="Z241">
        <v>1</v>
      </c>
    </row>
    <row r="242" spans="1:26" x14ac:dyDescent="0.2">
      <c r="A242" t="s">
        <v>10</v>
      </c>
      <c r="B242" t="s">
        <v>125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O242" t="s">
        <v>88</v>
      </c>
      <c r="Q242" t="s">
        <v>221</v>
      </c>
      <c r="R242">
        <v>0</v>
      </c>
      <c r="S242">
        <v>0</v>
      </c>
      <c r="T242">
        <v>1</v>
      </c>
      <c r="U242">
        <v>1200</v>
      </c>
      <c r="V242">
        <v>1200</v>
      </c>
      <c r="W242">
        <v>1356</v>
      </c>
      <c r="X242">
        <v>200</v>
      </c>
      <c r="Z242">
        <v>1</v>
      </c>
    </row>
    <row r="243" spans="1:26" x14ac:dyDescent="0.2">
      <c r="A243" t="s">
        <v>6</v>
      </c>
      <c r="B243" t="s">
        <v>126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O243" t="s">
        <v>133</v>
      </c>
      <c r="Q243" t="s">
        <v>221</v>
      </c>
      <c r="R243">
        <v>0</v>
      </c>
      <c r="S243">
        <v>0</v>
      </c>
      <c r="T243">
        <v>1</v>
      </c>
      <c r="U243">
        <v>1200</v>
      </c>
      <c r="V243">
        <v>1200</v>
      </c>
      <c r="W243">
        <v>1356</v>
      </c>
      <c r="X243">
        <v>316.79000000000002</v>
      </c>
      <c r="Z243">
        <v>3</v>
      </c>
    </row>
    <row r="244" spans="1:26" x14ac:dyDescent="0.2">
      <c r="A244" t="s">
        <v>42</v>
      </c>
      <c r="B244" t="s">
        <v>238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O244" t="s">
        <v>14</v>
      </c>
      <c r="P244" t="s">
        <v>9</v>
      </c>
      <c r="R244">
        <v>0</v>
      </c>
      <c r="S244">
        <v>1</v>
      </c>
      <c r="T244">
        <v>1</v>
      </c>
      <c r="U244">
        <v>1200</v>
      </c>
      <c r="V244">
        <v>1200</v>
      </c>
      <c r="W244">
        <v>1356</v>
      </c>
      <c r="X244">
        <v>333.42</v>
      </c>
      <c r="Y244" t="str">
        <f t="shared" si="3"/>
        <v>Door (General) Install</v>
      </c>
      <c r="Z244">
        <v>3</v>
      </c>
    </row>
    <row r="245" spans="1:26" x14ac:dyDescent="0.2">
      <c r="A245" t="s">
        <v>6</v>
      </c>
      <c r="B245" t="s">
        <v>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O245" t="s">
        <v>15</v>
      </c>
      <c r="P245" t="s">
        <v>9</v>
      </c>
      <c r="R245">
        <v>0</v>
      </c>
      <c r="S245">
        <v>0</v>
      </c>
      <c r="T245">
        <v>1</v>
      </c>
      <c r="U245">
        <v>1200</v>
      </c>
      <c r="V245">
        <v>1200</v>
      </c>
      <c r="W245">
        <v>1356</v>
      </c>
      <c r="X245">
        <v>682.64</v>
      </c>
      <c r="Z245">
        <v>5</v>
      </c>
    </row>
    <row r="246" spans="1:26" x14ac:dyDescent="0.2">
      <c r="A246" t="s">
        <v>42</v>
      </c>
      <c r="B246" t="s">
        <v>89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O246" t="s">
        <v>14</v>
      </c>
      <c r="P246" t="s">
        <v>9</v>
      </c>
      <c r="R246">
        <v>0</v>
      </c>
      <c r="S246">
        <v>1</v>
      </c>
      <c r="T246">
        <v>1</v>
      </c>
      <c r="U246">
        <v>1190</v>
      </c>
      <c r="V246">
        <v>1190</v>
      </c>
      <c r="W246">
        <v>1344.7</v>
      </c>
      <c r="X246">
        <v>352.38</v>
      </c>
      <c r="Y246" t="str">
        <f t="shared" si="3"/>
        <v>Door (General) Install</v>
      </c>
      <c r="Z246">
        <v>3</v>
      </c>
    </row>
    <row r="247" spans="1:26" x14ac:dyDescent="0.2">
      <c r="A247" t="s">
        <v>6</v>
      </c>
      <c r="B247" t="s">
        <v>20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O247" t="s">
        <v>14</v>
      </c>
      <c r="P247" t="s">
        <v>205</v>
      </c>
      <c r="Q247" t="s">
        <v>146</v>
      </c>
      <c r="R247">
        <v>0</v>
      </c>
      <c r="S247">
        <v>1</v>
      </c>
      <c r="T247">
        <v>2</v>
      </c>
      <c r="U247">
        <v>2830</v>
      </c>
      <c r="V247">
        <v>2830</v>
      </c>
      <c r="W247">
        <v>3197.9</v>
      </c>
      <c r="X247">
        <v>234</v>
      </c>
      <c r="Y247" t="str">
        <f t="shared" si="3"/>
        <v>Fire Door Install</v>
      </c>
      <c r="Z247">
        <v>2</v>
      </c>
    </row>
    <row r="248" spans="1:26" x14ac:dyDescent="0.2">
      <c r="A248" t="s">
        <v>10</v>
      </c>
      <c r="B248" t="s">
        <v>84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O248" t="s">
        <v>14</v>
      </c>
      <c r="P248" t="s">
        <v>9</v>
      </c>
      <c r="R248">
        <v>0</v>
      </c>
      <c r="S248">
        <v>1</v>
      </c>
      <c r="T248">
        <v>3</v>
      </c>
      <c r="U248">
        <v>3400</v>
      </c>
      <c r="V248">
        <v>3400</v>
      </c>
      <c r="W248">
        <v>3842</v>
      </c>
      <c r="X248">
        <v>57.35</v>
      </c>
      <c r="Y248" t="str">
        <f t="shared" si="3"/>
        <v>Door (General) Install</v>
      </c>
      <c r="Z248">
        <v>0</v>
      </c>
    </row>
    <row r="249" spans="1:26" x14ac:dyDescent="0.2">
      <c r="A249" t="s">
        <v>10</v>
      </c>
      <c r="B249" t="s">
        <v>43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O249" t="s">
        <v>14</v>
      </c>
      <c r="P249" t="s">
        <v>9</v>
      </c>
      <c r="Q249" t="s">
        <v>12</v>
      </c>
      <c r="R249">
        <v>0</v>
      </c>
      <c r="S249">
        <v>1</v>
      </c>
      <c r="T249">
        <v>3</v>
      </c>
      <c r="U249">
        <v>3400</v>
      </c>
      <c r="V249">
        <v>3400</v>
      </c>
      <c r="W249">
        <v>3842</v>
      </c>
      <c r="X249">
        <v>167.8</v>
      </c>
      <c r="Y249" t="str">
        <f t="shared" si="3"/>
        <v>Door (General) Install</v>
      </c>
      <c r="Z249">
        <v>1</v>
      </c>
    </row>
    <row r="250" spans="1:26" x14ac:dyDescent="0.2">
      <c r="A250" t="s">
        <v>42</v>
      </c>
      <c r="B250" t="s">
        <v>239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O250" t="s">
        <v>14</v>
      </c>
      <c r="P250" t="s">
        <v>9</v>
      </c>
      <c r="Q250" t="s">
        <v>12</v>
      </c>
      <c r="R250">
        <v>0</v>
      </c>
      <c r="S250">
        <v>1</v>
      </c>
      <c r="T250">
        <v>9</v>
      </c>
      <c r="U250">
        <v>10100</v>
      </c>
      <c r="V250">
        <v>10100</v>
      </c>
      <c r="W250">
        <v>11413</v>
      </c>
      <c r="X250">
        <v>89</v>
      </c>
      <c r="Y250" t="str">
        <f t="shared" si="3"/>
        <v>Door (General) Install</v>
      </c>
      <c r="Z250">
        <v>0</v>
      </c>
    </row>
    <row r="251" spans="1:26" x14ac:dyDescent="0.2">
      <c r="A251" t="s">
        <v>6</v>
      </c>
      <c r="B251" t="s">
        <v>87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O251" t="s">
        <v>15</v>
      </c>
      <c r="P251" t="s">
        <v>9</v>
      </c>
      <c r="R251">
        <v>0</v>
      </c>
      <c r="S251">
        <v>0</v>
      </c>
      <c r="T251">
        <v>1</v>
      </c>
      <c r="U251">
        <v>1105</v>
      </c>
      <c r="V251">
        <v>1105</v>
      </c>
      <c r="W251">
        <v>1248.6500000000001</v>
      </c>
      <c r="X251">
        <v>231.4</v>
      </c>
      <c r="Z251">
        <v>2</v>
      </c>
    </row>
    <row r="252" spans="1:26" x14ac:dyDescent="0.2">
      <c r="A252" t="s">
        <v>6</v>
      </c>
      <c r="B252" t="s">
        <v>44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O252" t="s">
        <v>14</v>
      </c>
      <c r="P252" t="s">
        <v>9</v>
      </c>
      <c r="R252">
        <v>0</v>
      </c>
      <c r="S252">
        <v>1</v>
      </c>
      <c r="T252">
        <v>1</v>
      </c>
      <c r="U252">
        <v>1100</v>
      </c>
      <c r="V252">
        <v>1100</v>
      </c>
      <c r="W252">
        <v>1243</v>
      </c>
      <c r="X252">
        <v>27</v>
      </c>
      <c r="Y252" t="str">
        <f t="shared" si="3"/>
        <v>Door (General) Install</v>
      </c>
      <c r="Z252">
        <v>0</v>
      </c>
    </row>
    <row r="253" spans="1:26" x14ac:dyDescent="0.2">
      <c r="A253" t="s">
        <v>10</v>
      </c>
      <c r="B253" t="s">
        <v>75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O253" t="s">
        <v>14</v>
      </c>
      <c r="P253" t="s">
        <v>9</v>
      </c>
      <c r="Q253" t="s">
        <v>12</v>
      </c>
      <c r="R253">
        <v>0</v>
      </c>
      <c r="S253">
        <v>1</v>
      </c>
      <c r="T253">
        <v>1</v>
      </c>
      <c r="U253">
        <v>1100</v>
      </c>
      <c r="V253">
        <v>1100</v>
      </c>
      <c r="W253">
        <v>1243</v>
      </c>
      <c r="X253">
        <v>50.65</v>
      </c>
      <c r="Y253" t="str">
        <f t="shared" si="3"/>
        <v>Door (General) Install</v>
      </c>
      <c r="Z253">
        <v>0</v>
      </c>
    </row>
    <row r="254" spans="1:26" x14ac:dyDescent="0.2">
      <c r="A254" t="s">
        <v>10</v>
      </c>
      <c r="B254" t="s">
        <v>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O254" t="s">
        <v>14</v>
      </c>
      <c r="P254" t="s">
        <v>25</v>
      </c>
      <c r="R254">
        <v>0</v>
      </c>
      <c r="S254">
        <v>1</v>
      </c>
      <c r="T254">
        <v>1</v>
      </c>
      <c r="U254">
        <v>1100</v>
      </c>
      <c r="V254">
        <v>1100</v>
      </c>
      <c r="W254">
        <v>1243</v>
      </c>
      <c r="X254">
        <v>74.67</v>
      </c>
      <c r="Y254" t="str">
        <f t="shared" si="3"/>
        <v>High Speed Door Install</v>
      </c>
      <c r="Z254">
        <v>0</v>
      </c>
    </row>
    <row r="255" spans="1:26" x14ac:dyDescent="0.2">
      <c r="A255" t="s">
        <v>42</v>
      </c>
      <c r="B255" t="s">
        <v>75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O255" t="s">
        <v>14</v>
      </c>
      <c r="P255" t="s">
        <v>9</v>
      </c>
      <c r="Q255" t="s">
        <v>12</v>
      </c>
      <c r="R255">
        <v>0</v>
      </c>
      <c r="S255">
        <v>1</v>
      </c>
      <c r="T255">
        <v>8</v>
      </c>
      <c r="U255">
        <v>1100</v>
      </c>
      <c r="V255">
        <v>8800</v>
      </c>
      <c r="W255">
        <v>9944</v>
      </c>
      <c r="X255">
        <v>170.28</v>
      </c>
      <c r="Y255" t="str">
        <f t="shared" si="3"/>
        <v>Door (General) Install</v>
      </c>
      <c r="Z255">
        <v>1</v>
      </c>
    </row>
    <row r="256" spans="1:26" x14ac:dyDescent="0.2">
      <c r="A256" t="s">
        <v>10</v>
      </c>
      <c r="B256" t="s">
        <v>240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O256" t="s">
        <v>124</v>
      </c>
      <c r="P256" t="s">
        <v>9</v>
      </c>
      <c r="R256">
        <v>0</v>
      </c>
      <c r="S256">
        <v>0</v>
      </c>
      <c r="T256">
        <v>11</v>
      </c>
      <c r="U256">
        <v>1100</v>
      </c>
      <c r="V256">
        <v>12100</v>
      </c>
      <c r="W256">
        <v>13673</v>
      </c>
      <c r="X256">
        <v>190.5</v>
      </c>
      <c r="Z256">
        <v>1</v>
      </c>
    </row>
    <row r="257" spans="1:26" x14ac:dyDescent="0.2">
      <c r="A257" t="s">
        <v>6</v>
      </c>
      <c r="B257" t="s">
        <v>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O257" t="s">
        <v>14</v>
      </c>
      <c r="P257" t="s">
        <v>9</v>
      </c>
      <c r="R257">
        <v>0</v>
      </c>
      <c r="S257">
        <v>1</v>
      </c>
      <c r="T257">
        <v>15</v>
      </c>
      <c r="U257">
        <v>16425</v>
      </c>
      <c r="V257">
        <v>16425</v>
      </c>
      <c r="W257">
        <v>18560.25</v>
      </c>
      <c r="X257">
        <v>85.44</v>
      </c>
      <c r="Y257" t="str">
        <f t="shared" si="3"/>
        <v>Door (General) Install</v>
      </c>
      <c r="Z257">
        <v>0</v>
      </c>
    </row>
    <row r="258" spans="1:26" x14ac:dyDescent="0.2">
      <c r="A258" t="s">
        <v>10</v>
      </c>
      <c r="B258" t="s">
        <v>48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O258" t="s">
        <v>49</v>
      </c>
      <c r="P258" t="s">
        <v>9</v>
      </c>
      <c r="R258">
        <v>0</v>
      </c>
      <c r="S258">
        <v>0</v>
      </c>
      <c r="T258">
        <v>1</v>
      </c>
      <c r="U258">
        <v>1050</v>
      </c>
      <c r="V258">
        <v>1050</v>
      </c>
      <c r="W258">
        <v>1186.5</v>
      </c>
      <c r="X258">
        <v>30.57</v>
      </c>
      <c r="Z258">
        <v>0</v>
      </c>
    </row>
    <row r="259" spans="1:26" x14ac:dyDescent="0.2">
      <c r="A259" t="s">
        <v>10</v>
      </c>
      <c r="B259" t="s">
        <v>63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O259" t="s">
        <v>14</v>
      </c>
      <c r="P259" t="s">
        <v>9</v>
      </c>
      <c r="R259">
        <v>0</v>
      </c>
      <c r="S259">
        <v>1</v>
      </c>
      <c r="T259">
        <v>4</v>
      </c>
      <c r="U259">
        <v>4200</v>
      </c>
      <c r="V259">
        <v>4200</v>
      </c>
      <c r="W259">
        <v>4746</v>
      </c>
      <c r="X259">
        <v>53.39</v>
      </c>
      <c r="Y259" t="str">
        <f t="shared" ref="Y258:Y321" si="4">_xlfn.CONCAT($P259&amp;" "&amp;$O259)</f>
        <v>Door (General) Install</v>
      </c>
      <c r="Z259">
        <v>0</v>
      </c>
    </row>
    <row r="260" spans="1:26" x14ac:dyDescent="0.2">
      <c r="A260" t="s">
        <v>10</v>
      </c>
      <c r="B260" t="s">
        <v>240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  <c r="L260">
        <v>0</v>
      </c>
      <c r="O260" t="s">
        <v>14</v>
      </c>
      <c r="P260" t="s">
        <v>9</v>
      </c>
      <c r="R260">
        <v>0</v>
      </c>
      <c r="S260">
        <v>1</v>
      </c>
      <c r="T260">
        <v>2</v>
      </c>
      <c r="U260">
        <v>1050</v>
      </c>
      <c r="V260">
        <v>2100</v>
      </c>
      <c r="W260">
        <v>2373</v>
      </c>
      <c r="X260">
        <v>157</v>
      </c>
      <c r="Y260" t="str">
        <f t="shared" si="4"/>
        <v>Door (General) Install</v>
      </c>
      <c r="Z260">
        <v>1</v>
      </c>
    </row>
    <row r="261" spans="1:26" x14ac:dyDescent="0.2">
      <c r="A261" t="s">
        <v>10</v>
      </c>
      <c r="B261" t="s">
        <v>59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O261" t="s">
        <v>14</v>
      </c>
      <c r="P261" t="s">
        <v>9</v>
      </c>
      <c r="R261">
        <v>0</v>
      </c>
      <c r="S261">
        <v>1</v>
      </c>
      <c r="T261">
        <v>3</v>
      </c>
      <c r="U261">
        <v>3100</v>
      </c>
      <c r="V261">
        <v>3100</v>
      </c>
      <c r="W261">
        <v>3503</v>
      </c>
      <c r="X261">
        <v>47.74</v>
      </c>
      <c r="Y261" t="str">
        <f t="shared" si="4"/>
        <v>Door (General) Install</v>
      </c>
      <c r="Z261">
        <v>0</v>
      </c>
    </row>
    <row r="262" spans="1:26" x14ac:dyDescent="0.2">
      <c r="A262" t="s">
        <v>6</v>
      </c>
      <c r="B262" t="s">
        <v>71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O262" t="s">
        <v>14</v>
      </c>
      <c r="P262" t="s">
        <v>9</v>
      </c>
      <c r="Q262" t="s">
        <v>12</v>
      </c>
      <c r="R262">
        <v>0</v>
      </c>
      <c r="S262">
        <v>1</v>
      </c>
      <c r="T262">
        <v>5</v>
      </c>
      <c r="U262">
        <v>1020</v>
      </c>
      <c r="V262">
        <v>5100</v>
      </c>
      <c r="W262">
        <v>5763</v>
      </c>
      <c r="X262">
        <v>50.45</v>
      </c>
      <c r="Y262" t="str">
        <f t="shared" si="4"/>
        <v>Door (General) Install</v>
      </c>
      <c r="Z262">
        <v>0</v>
      </c>
    </row>
    <row r="263" spans="1:26" x14ac:dyDescent="0.2">
      <c r="A263" t="s">
        <v>10</v>
      </c>
      <c r="B263" t="s">
        <v>97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O263" t="s">
        <v>14</v>
      </c>
      <c r="P263" t="s">
        <v>205</v>
      </c>
      <c r="R263">
        <v>0</v>
      </c>
      <c r="S263">
        <v>1</v>
      </c>
      <c r="T263">
        <v>6</v>
      </c>
      <c r="U263">
        <v>6100</v>
      </c>
      <c r="V263">
        <v>6100</v>
      </c>
      <c r="W263">
        <v>6893</v>
      </c>
      <c r="X263">
        <v>80.900000000000006</v>
      </c>
      <c r="Y263" t="str">
        <f t="shared" si="4"/>
        <v>Fire Door Install</v>
      </c>
      <c r="Z263">
        <v>0</v>
      </c>
    </row>
    <row r="264" spans="1:26" x14ac:dyDescent="0.2">
      <c r="A264" t="s">
        <v>10</v>
      </c>
      <c r="B264" t="s">
        <v>187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O264" t="s">
        <v>14</v>
      </c>
      <c r="P264" t="s">
        <v>9</v>
      </c>
      <c r="R264">
        <v>0</v>
      </c>
      <c r="S264">
        <v>1</v>
      </c>
      <c r="T264">
        <v>6</v>
      </c>
      <c r="U264">
        <v>6100</v>
      </c>
      <c r="V264">
        <v>6100</v>
      </c>
      <c r="W264">
        <v>6893</v>
      </c>
      <c r="X264">
        <v>141.1</v>
      </c>
      <c r="Y264" t="str">
        <f t="shared" si="4"/>
        <v>Door (General) Install</v>
      </c>
      <c r="Z264">
        <v>1</v>
      </c>
    </row>
    <row r="265" spans="1:26" x14ac:dyDescent="0.2">
      <c r="A265" t="s">
        <v>10</v>
      </c>
      <c r="B265" t="s">
        <v>46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O265" t="s">
        <v>14</v>
      </c>
      <c r="P265" t="s">
        <v>9</v>
      </c>
      <c r="R265">
        <v>0</v>
      </c>
      <c r="S265">
        <v>1</v>
      </c>
      <c r="T265">
        <v>1</v>
      </c>
      <c r="U265">
        <v>1000</v>
      </c>
      <c r="V265">
        <v>1000</v>
      </c>
      <c r="W265">
        <v>1130</v>
      </c>
      <c r="X265">
        <v>27.56</v>
      </c>
      <c r="Y265" t="str">
        <f t="shared" si="4"/>
        <v>Door (General) Install</v>
      </c>
      <c r="Z265">
        <v>0</v>
      </c>
    </row>
    <row r="266" spans="1:26" x14ac:dyDescent="0.2">
      <c r="A266" t="s">
        <v>6</v>
      </c>
      <c r="B266" t="s">
        <v>18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O266" t="s">
        <v>24</v>
      </c>
      <c r="P266" t="s">
        <v>9</v>
      </c>
      <c r="R266">
        <v>0</v>
      </c>
      <c r="S266">
        <v>0</v>
      </c>
      <c r="T266">
        <v>1</v>
      </c>
      <c r="U266">
        <v>1000</v>
      </c>
      <c r="V266">
        <v>1000</v>
      </c>
      <c r="W266">
        <v>1130</v>
      </c>
      <c r="X266">
        <v>33.51</v>
      </c>
      <c r="Z266">
        <v>0</v>
      </c>
    </row>
    <row r="267" spans="1:26" x14ac:dyDescent="0.2">
      <c r="A267" t="s">
        <v>10</v>
      </c>
      <c r="B267" t="s">
        <v>241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O267" t="s">
        <v>24</v>
      </c>
      <c r="P267" t="s">
        <v>9</v>
      </c>
      <c r="R267">
        <v>0</v>
      </c>
      <c r="S267">
        <v>0</v>
      </c>
      <c r="T267">
        <v>1</v>
      </c>
      <c r="U267">
        <v>1000</v>
      </c>
      <c r="V267">
        <v>1000</v>
      </c>
      <c r="W267">
        <v>1130</v>
      </c>
      <c r="X267">
        <v>42.51</v>
      </c>
      <c r="Z267">
        <v>0</v>
      </c>
    </row>
    <row r="268" spans="1:26" x14ac:dyDescent="0.2">
      <c r="A268" t="s">
        <v>10</v>
      </c>
      <c r="B268" t="s">
        <v>35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O268" t="s">
        <v>14</v>
      </c>
      <c r="P268" t="s">
        <v>9</v>
      </c>
      <c r="R268">
        <v>0</v>
      </c>
      <c r="S268">
        <v>1</v>
      </c>
      <c r="T268">
        <v>2</v>
      </c>
      <c r="U268">
        <v>2000</v>
      </c>
      <c r="V268">
        <v>2000</v>
      </c>
      <c r="W268">
        <v>2260</v>
      </c>
      <c r="X268">
        <v>46.88</v>
      </c>
      <c r="Y268" t="str">
        <f t="shared" si="4"/>
        <v>Door (General) Install</v>
      </c>
      <c r="Z268">
        <v>0</v>
      </c>
    </row>
    <row r="269" spans="1:26" x14ac:dyDescent="0.2">
      <c r="A269" t="s">
        <v>10</v>
      </c>
      <c r="B269" t="s">
        <v>77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O269" t="s">
        <v>14</v>
      </c>
      <c r="P269" t="s">
        <v>9</v>
      </c>
      <c r="R269">
        <v>0</v>
      </c>
      <c r="S269">
        <v>1</v>
      </c>
      <c r="T269">
        <v>1</v>
      </c>
      <c r="U269">
        <v>1000</v>
      </c>
      <c r="V269">
        <v>1000</v>
      </c>
      <c r="W269">
        <v>1130</v>
      </c>
      <c r="X269">
        <v>51.62</v>
      </c>
      <c r="Y269" t="str">
        <f t="shared" si="4"/>
        <v>Door (General) Install</v>
      </c>
      <c r="Z269">
        <v>0</v>
      </c>
    </row>
    <row r="270" spans="1:26" x14ac:dyDescent="0.2">
      <c r="A270" t="s">
        <v>10</v>
      </c>
      <c r="B270" t="s">
        <v>181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O270" t="s">
        <v>23</v>
      </c>
      <c r="P270" t="s">
        <v>9</v>
      </c>
      <c r="Q270" t="s">
        <v>12</v>
      </c>
      <c r="R270">
        <v>0</v>
      </c>
      <c r="S270">
        <v>0</v>
      </c>
      <c r="T270">
        <v>1</v>
      </c>
      <c r="U270">
        <v>1000</v>
      </c>
      <c r="V270">
        <v>1000</v>
      </c>
      <c r="W270">
        <v>1130</v>
      </c>
      <c r="X270">
        <v>51.68</v>
      </c>
      <c r="Z270">
        <v>0</v>
      </c>
    </row>
    <row r="271" spans="1:26" x14ac:dyDescent="0.2">
      <c r="A271" t="s">
        <v>10</v>
      </c>
      <c r="B271" t="s">
        <v>80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O271" t="s">
        <v>14</v>
      </c>
      <c r="P271" t="s">
        <v>9</v>
      </c>
      <c r="R271">
        <v>0</v>
      </c>
      <c r="S271">
        <v>1</v>
      </c>
      <c r="T271">
        <v>1</v>
      </c>
      <c r="U271">
        <v>1000</v>
      </c>
      <c r="V271">
        <v>1000</v>
      </c>
      <c r="W271">
        <v>1130</v>
      </c>
      <c r="X271">
        <v>52</v>
      </c>
      <c r="Y271" t="str">
        <f t="shared" si="4"/>
        <v>Door (General) Install</v>
      </c>
      <c r="Z271">
        <v>0</v>
      </c>
    </row>
    <row r="272" spans="1:26" x14ac:dyDescent="0.2">
      <c r="A272" t="s">
        <v>10</v>
      </c>
      <c r="B272" t="s">
        <v>83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O272" t="s">
        <v>17</v>
      </c>
      <c r="P272" t="s">
        <v>15</v>
      </c>
      <c r="R272">
        <v>0</v>
      </c>
      <c r="S272">
        <v>0</v>
      </c>
      <c r="T272">
        <v>1</v>
      </c>
      <c r="U272">
        <v>1000</v>
      </c>
      <c r="V272">
        <v>1000</v>
      </c>
      <c r="W272">
        <v>1130</v>
      </c>
      <c r="X272">
        <v>55.71</v>
      </c>
      <c r="Z272">
        <v>0</v>
      </c>
    </row>
    <row r="273" spans="1:26" x14ac:dyDescent="0.2">
      <c r="A273" t="s">
        <v>6</v>
      </c>
      <c r="B273" t="s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 t="s">
        <v>242</v>
      </c>
      <c r="O273" t="s">
        <v>14</v>
      </c>
      <c r="P273" t="s">
        <v>9</v>
      </c>
      <c r="R273">
        <v>0</v>
      </c>
      <c r="S273">
        <v>1</v>
      </c>
      <c r="T273">
        <v>1</v>
      </c>
      <c r="U273">
        <v>1000</v>
      </c>
      <c r="V273">
        <v>1000</v>
      </c>
      <c r="W273">
        <v>1130</v>
      </c>
      <c r="X273">
        <v>58</v>
      </c>
      <c r="Y273" t="str">
        <f t="shared" si="4"/>
        <v>Door (General) Install</v>
      </c>
      <c r="Z273">
        <v>0</v>
      </c>
    </row>
    <row r="274" spans="1:26" x14ac:dyDescent="0.2">
      <c r="A274" t="s">
        <v>10</v>
      </c>
      <c r="B274" t="s">
        <v>168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O274" t="s">
        <v>88</v>
      </c>
      <c r="P274" t="s">
        <v>9</v>
      </c>
      <c r="R274">
        <v>0</v>
      </c>
      <c r="S274">
        <v>0</v>
      </c>
      <c r="T274">
        <v>1</v>
      </c>
      <c r="U274">
        <v>1000</v>
      </c>
      <c r="V274">
        <v>1000</v>
      </c>
      <c r="W274">
        <v>1130</v>
      </c>
      <c r="X274">
        <v>61.33</v>
      </c>
      <c r="Z274">
        <v>0</v>
      </c>
    </row>
    <row r="275" spans="1:26" x14ac:dyDescent="0.2">
      <c r="A275" t="s">
        <v>10</v>
      </c>
      <c r="B275" t="s">
        <v>170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O275" t="s">
        <v>14</v>
      </c>
      <c r="P275" t="s">
        <v>25</v>
      </c>
      <c r="R275">
        <v>0</v>
      </c>
      <c r="S275">
        <v>1</v>
      </c>
      <c r="T275">
        <v>7</v>
      </c>
      <c r="U275">
        <v>1000</v>
      </c>
      <c r="V275">
        <v>7000</v>
      </c>
      <c r="W275">
        <v>7910</v>
      </c>
      <c r="X275">
        <v>67.23</v>
      </c>
      <c r="Y275" t="str">
        <f t="shared" si="4"/>
        <v>High Speed Door Install</v>
      </c>
      <c r="Z275">
        <v>0</v>
      </c>
    </row>
    <row r="276" spans="1:26" x14ac:dyDescent="0.2">
      <c r="A276" t="s">
        <v>6</v>
      </c>
      <c r="B276" t="s">
        <v>71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O276" t="s">
        <v>14</v>
      </c>
      <c r="P276" t="s">
        <v>205</v>
      </c>
      <c r="R276">
        <v>0</v>
      </c>
      <c r="S276">
        <v>1</v>
      </c>
      <c r="T276">
        <v>1</v>
      </c>
      <c r="U276">
        <v>1000</v>
      </c>
      <c r="V276">
        <v>1000</v>
      </c>
      <c r="W276">
        <v>1130</v>
      </c>
      <c r="X276">
        <v>73</v>
      </c>
      <c r="Y276" t="str">
        <f t="shared" si="4"/>
        <v>Fire Door Install</v>
      </c>
      <c r="Z276">
        <v>0</v>
      </c>
    </row>
    <row r="277" spans="1:26" x14ac:dyDescent="0.2">
      <c r="A277" t="s">
        <v>10</v>
      </c>
      <c r="B277" t="s">
        <v>44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O277" t="s">
        <v>8</v>
      </c>
      <c r="P277" t="s">
        <v>9</v>
      </c>
      <c r="R277">
        <v>0</v>
      </c>
      <c r="S277">
        <v>0</v>
      </c>
      <c r="T277">
        <v>2</v>
      </c>
      <c r="U277">
        <v>1000</v>
      </c>
      <c r="V277">
        <v>2000</v>
      </c>
      <c r="W277">
        <v>2260</v>
      </c>
      <c r="X277">
        <v>74.680000000000007</v>
      </c>
      <c r="Z277">
        <v>0</v>
      </c>
    </row>
    <row r="278" spans="1:26" x14ac:dyDescent="0.2">
      <c r="A278" t="s">
        <v>10</v>
      </c>
      <c r="B278" t="s">
        <v>187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  <c r="O278" t="s">
        <v>14</v>
      </c>
      <c r="P278" t="s">
        <v>9</v>
      </c>
      <c r="R278">
        <v>0</v>
      </c>
      <c r="S278">
        <v>1</v>
      </c>
      <c r="T278">
        <v>1</v>
      </c>
      <c r="U278">
        <v>1000</v>
      </c>
      <c r="V278">
        <v>1000</v>
      </c>
      <c r="W278">
        <v>1130</v>
      </c>
      <c r="X278">
        <v>75.03</v>
      </c>
      <c r="Y278" t="str">
        <f t="shared" si="4"/>
        <v>Door (General) Install</v>
      </c>
      <c r="Z278">
        <v>0</v>
      </c>
    </row>
    <row r="279" spans="1:26" x14ac:dyDescent="0.2">
      <c r="A279" t="s">
        <v>10</v>
      </c>
      <c r="B279" t="s">
        <v>48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O279" t="s">
        <v>14</v>
      </c>
      <c r="P279" t="s">
        <v>9</v>
      </c>
      <c r="R279">
        <v>0</v>
      </c>
      <c r="S279">
        <v>1</v>
      </c>
      <c r="T279">
        <v>1</v>
      </c>
      <c r="U279">
        <v>1000</v>
      </c>
      <c r="V279">
        <v>1000</v>
      </c>
      <c r="W279">
        <v>1130</v>
      </c>
      <c r="X279">
        <v>76</v>
      </c>
      <c r="Y279" t="str">
        <f t="shared" si="4"/>
        <v>Door (General) Install</v>
      </c>
      <c r="Z279">
        <v>0</v>
      </c>
    </row>
    <row r="280" spans="1:26" x14ac:dyDescent="0.2">
      <c r="A280" t="s">
        <v>10</v>
      </c>
      <c r="B280" t="s">
        <v>28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0</v>
      </c>
      <c r="O280" t="s">
        <v>14</v>
      </c>
      <c r="P280" t="s">
        <v>9</v>
      </c>
      <c r="R280">
        <v>0</v>
      </c>
      <c r="S280">
        <v>1</v>
      </c>
      <c r="T280">
        <v>4</v>
      </c>
      <c r="U280">
        <v>1000</v>
      </c>
      <c r="V280">
        <v>4000</v>
      </c>
      <c r="W280">
        <v>4520</v>
      </c>
      <c r="X280">
        <v>76.510000000000005</v>
      </c>
      <c r="Y280" t="str">
        <f t="shared" si="4"/>
        <v>Door (General) Install</v>
      </c>
      <c r="Z280">
        <v>0</v>
      </c>
    </row>
    <row r="281" spans="1:26" x14ac:dyDescent="0.2">
      <c r="A281" t="s">
        <v>6</v>
      </c>
      <c r="B281" t="s">
        <v>48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O281" t="s">
        <v>14</v>
      </c>
      <c r="P281" t="s">
        <v>9</v>
      </c>
      <c r="Q281" t="s">
        <v>12</v>
      </c>
      <c r="R281">
        <v>0</v>
      </c>
      <c r="S281">
        <v>1</v>
      </c>
      <c r="T281">
        <v>2</v>
      </c>
      <c r="U281">
        <v>1000</v>
      </c>
      <c r="V281">
        <v>2000</v>
      </c>
      <c r="W281">
        <v>2260</v>
      </c>
      <c r="X281">
        <v>88.25</v>
      </c>
      <c r="Y281" t="str">
        <f t="shared" si="4"/>
        <v>Door (General) Install</v>
      </c>
      <c r="Z281">
        <v>0</v>
      </c>
    </row>
    <row r="282" spans="1:26" x14ac:dyDescent="0.2">
      <c r="A282" t="s">
        <v>6</v>
      </c>
      <c r="B282" t="s">
        <v>243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O282" t="s">
        <v>14</v>
      </c>
      <c r="P282" t="s">
        <v>25</v>
      </c>
      <c r="R282">
        <v>0</v>
      </c>
      <c r="S282">
        <v>1</v>
      </c>
      <c r="T282">
        <v>2</v>
      </c>
      <c r="U282">
        <v>2000</v>
      </c>
      <c r="V282">
        <v>2000</v>
      </c>
      <c r="W282">
        <v>2260</v>
      </c>
      <c r="X282">
        <v>92.95</v>
      </c>
      <c r="Y282" t="str">
        <f t="shared" si="4"/>
        <v>High Speed Door Install</v>
      </c>
      <c r="Z282">
        <v>0</v>
      </c>
    </row>
    <row r="283" spans="1:26" x14ac:dyDescent="0.2">
      <c r="A283" t="s">
        <v>10</v>
      </c>
      <c r="B283" t="s">
        <v>85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O283" t="s">
        <v>14</v>
      </c>
      <c r="P283" t="s">
        <v>9</v>
      </c>
      <c r="R283">
        <v>0</v>
      </c>
      <c r="S283">
        <v>1</v>
      </c>
      <c r="T283">
        <v>1</v>
      </c>
      <c r="U283">
        <v>1000</v>
      </c>
      <c r="V283">
        <v>1000</v>
      </c>
      <c r="W283">
        <v>1130</v>
      </c>
      <c r="X283">
        <v>147.13</v>
      </c>
      <c r="Y283" t="str">
        <f t="shared" si="4"/>
        <v>Door (General) Install</v>
      </c>
      <c r="Z283">
        <v>1</v>
      </c>
    </row>
    <row r="284" spans="1:26" x14ac:dyDescent="0.2">
      <c r="A284" t="s">
        <v>10</v>
      </c>
      <c r="B284" t="s">
        <v>244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O284" t="s">
        <v>14</v>
      </c>
      <c r="P284" t="s">
        <v>9</v>
      </c>
      <c r="R284">
        <v>0</v>
      </c>
      <c r="S284">
        <v>1</v>
      </c>
      <c r="T284">
        <v>3</v>
      </c>
      <c r="U284">
        <v>3000</v>
      </c>
      <c r="V284">
        <v>3000</v>
      </c>
      <c r="W284">
        <v>3390</v>
      </c>
      <c r="X284">
        <v>170</v>
      </c>
      <c r="Y284" t="str">
        <f t="shared" si="4"/>
        <v>Door (General) Install</v>
      </c>
      <c r="Z284">
        <v>1</v>
      </c>
    </row>
    <row r="285" spans="1:26" x14ac:dyDescent="0.2">
      <c r="A285" t="s">
        <v>10</v>
      </c>
      <c r="B285" t="s">
        <v>217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O285" t="s">
        <v>14</v>
      </c>
      <c r="P285" t="s">
        <v>9</v>
      </c>
      <c r="R285">
        <v>0</v>
      </c>
      <c r="S285">
        <v>1</v>
      </c>
      <c r="T285">
        <v>3</v>
      </c>
      <c r="U285">
        <v>1000</v>
      </c>
      <c r="V285">
        <v>3000</v>
      </c>
      <c r="W285">
        <v>3390</v>
      </c>
      <c r="X285">
        <v>173.81</v>
      </c>
      <c r="Y285" t="str">
        <f t="shared" si="4"/>
        <v>Door (General) Install</v>
      </c>
      <c r="Z285">
        <v>1</v>
      </c>
    </row>
    <row r="286" spans="1:26" x14ac:dyDescent="0.2">
      <c r="A286" t="s">
        <v>10</v>
      </c>
      <c r="B286" t="s">
        <v>78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 t="s">
        <v>245</v>
      </c>
      <c r="O286" t="s">
        <v>8</v>
      </c>
      <c r="P286" t="s">
        <v>9</v>
      </c>
      <c r="Q286" t="s">
        <v>12</v>
      </c>
      <c r="R286">
        <v>0</v>
      </c>
      <c r="S286">
        <v>0</v>
      </c>
      <c r="T286">
        <v>1</v>
      </c>
      <c r="U286">
        <v>1000</v>
      </c>
      <c r="V286">
        <v>1000</v>
      </c>
      <c r="W286">
        <v>1130</v>
      </c>
      <c r="X286">
        <v>183</v>
      </c>
      <c r="Z286">
        <v>1</v>
      </c>
    </row>
    <row r="287" spans="1:26" x14ac:dyDescent="0.2">
      <c r="A287" t="s">
        <v>10</v>
      </c>
      <c r="B287" t="s">
        <v>160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O287" t="s">
        <v>14</v>
      </c>
      <c r="P287" t="s">
        <v>9</v>
      </c>
      <c r="R287">
        <v>0</v>
      </c>
      <c r="S287">
        <v>1</v>
      </c>
      <c r="T287">
        <v>1</v>
      </c>
      <c r="U287">
        <v>1000</v>
      </c>
      <c r="V287">
        <v>1000</v>
      </c>
      <c r="W287">
        <v>1130</v>
      </c>
      <c r="X287">
        <v>183</v>
      </c>
      <c r="Y287" t="str">
        <f t="shared" si="4"/>
        <v>Door (General) Install</v>
      </c>
      <c r="Z287">
        <v>1</v>
      </c>
    </row>
    <row r="288" spans="1:26" x14ac:dyDescent="0.2">
      <c r="A288" t="s">
        <v>10</v>
      </c>
      <c r="B288" t="s">
        <v>246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O288" t="s">
        <v>14</v>
      </c>
      <c r="P288" t="s">
        <v>9</v>
      </c>
      <c r="R288">
        <v>0</v>
      </c>
      <c r="S288">
        <v>1</v>
      </c>
      <c r="T288">
        <v>1</v>
      </c>
      <c r="U288">
        <v>1000</v>
      </c>
      <c r="V288">
        <v>1000</v>
      </c>
      <c r="W288">
        <v>1130</v>
      </c>
      <c r="X288">
        <v>186.46</v>
      </c>
      <c r="Y288" t="str">
        <f t="shared" si="4"/>
        <v>Door (General) Install</v>
      </c>
      <c r="Z288">
        <v>1</v>
      </c>
    </row>
    <row r="289" spans="1:26" x14ac:dyDescent="0.2">
      <c r="A289" t="s">
        <v>10</v>
      </c>
      <c r="B289" t="s">
        <v>44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0</v>
      </c>
      <c r="O289" t="s">
        <v>14</v>
      </c>
      <c r="P289" t="s">
        <v>9</v>
      </c>
      <c r="R289">
        <v>0</v>
      </c>
      <c r="S289">
        <v>1</v>
      </c>
      <c r="T289">
        <v>6</v>
      </c>
      <c r="U289">
        <v>1000</v>
      </c>
      <c r="V289">
        <v>6000</v>
      </c>
      <c r="W289">
        <v>6780</v>
      </c>
      <c r="X289">
        <v>219.08</v>
      </c>
      <c r="Y289" t="str">
        <f t="shared" si="4"/>
        <v>Door (General) Install</v>
      </c>
      <c r="Z289">
        <v>2</v>
      </c>
    </row>
    <row r="290" spans="1:26" x14ac:dyDescent="0.2">
      <c r="A290" t="s">
        <v>6</v>
      </c>
      <c r="B290" t="s">
        <v>118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O290" t="s">
        <v>14</v>
      </c>
      <c r="P290" t="s">
        <v>25</v>
      </c>
      <c r="R290">
        <v>0</v>
      </c>
      <c r="S290">
        <v>1</v>
      </c>
      <c r="T290">
        <v>1</v>
      </c>
      <c r="U290">
        <v>1000</v>
      </c>
      <c r="V290">
        <v>1000</v>
      </c>
      <c r="W290">
        <v>1130</v>
      </c>
      <c r="X290">
        <v>231.4</v>
      </c>
      <c r="Y290" t="str">
        <f t="shared" si="4"/>
        <v>High Speed Door Install</v>
      </c>
      <c r="Z290">
        <v>2</v>
      </c>
    </row>
    <row r="291" spans="1:26" x14ac:dyDescent="0.2">
      <c r="A291" t="s">
        <v>10</v>
      </c>
      <c r="B291" t="s">
        <v>130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>
        <v>0</v>
      </c>
      <c r="O291" t="s">
        <v>14</v>
      </c>
      <c r="P291" t="s">
        <v>9</v>
      </c>
      <c r="Q291" t="s">
        <v>12</v>
      </c>
      <c r="R291">
        <v>0</v>
      </c>
      <c r="S291">
        <v>1</v>
      </c>
      <c r="T291">
        <v>1</v>
      </c>
      <c r="U291">
        <v>1000</v>
      </c>
      <c r="V291">
        <v>1000</v>
      </c>
      <c r="W291">
        <v>1130</v>
      </c>
      <c r="X291">
        <v>264</v>
      </c>
      <c r="Y291" t="str">
        <f t="shared" si="4"/>
        <v>Door (General) Install</v>
      </c>
      <c r="Z291">
        <v>2</v>
      </c>
    </row>
    <row r="292" spans="1:26" x14ac:dyDescent="0.2">
      <c r="A292" t="s">
        <v>10</v>
      </c>
      <c r="B292" t="s">
        <v>16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O292" t="s">
        <v>14</v>
      </c>
      <c r="P292" t="s">
        <v>205</v>
      </c>
      <c r="R292">
        <v>0</v>
      </c>
      <c r="S292">
        <v>1</v>
      </c>
      <c r="T292">
        <v>17</v>
      </c>
      <c r="U292">
        <v>16698</v>
      </c>
      <c r="V292">
        <v>16698</v>
      </c>
      <c r="W292">
        <v>18868.740000000002</v>
      </c>
      <c r="X292">
        <v>51.68</v>
      </c>
      <c r="Y292" t="str">
        <f t="shared" si="4"/>
        <v>Fire Door Install</v>
      </c>
      <c r="Z292">
        <v>0</v>
      </c>
    </row>
    <row r="293" spans="1:26" x14ac:dyDescent="0.2">
      <c r="A293" t="s">
        <v>6</v>
      </c>
      <c r="B293" t="s">
        <v>74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O293" t="s">
        <v>14</v>
      </c>
      <c r="P293" t="s">
        <v>9</v>
      </c>
      <c r="R293">
        <v>0</v>
      </c>
      <c r="S293">
        <v>1</v>
      </c>
      <c r="T293">
        <v>1</v>
      </c>
      <c r="U293">
        <v>975</v>
      </c>
      <c r="V293">
        <v>975</v>
      </c>
      <c r="W293">
        <v>1101.75</v>
      </c>
      <c r="X293">
        <v>80.81</v>
      </c>
      <c r="Y293" t="str">
        <f t="shared" si="4"/>
        <v>Door (General) Install</v>
      </c>
      <c r="Z293">
        <v>0</v>
      </c>
    </row>
    <row r="294" spans="1:26" x14ac:dyDescent="0.2">
      <c r="A294" t="s">
        <v>10</v>
      </c>
      <c r="B294" t="s">
        <v>47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O294" t="s">
        <v>14</v>
      </c>
      <c r="P294" t="s">
        <v>9</v>
      </c>
      <c r="R294">
        <v>0</v>
      </c>
      <c r="S294">
        <v>1</v>
      </c>
      <c r="T294">
        <v>2</v>
      </c>
      <c r="U294">
        <v>950</v>
      </c>
      <c r="V294">
        <v>1900</v>
      </c>
      <c r="W294">
        <v>2147</v>
      </c>
      <c r="X294">
        <v>27.56</v>
      </c>
      <c r="Y294" t="str">
        <f t="shared" si="4"/>
        <v>Door (General) Install</v>
      </c>
      <c r="Z294">
        <v>0</v>
      </c>
    </row>
    <row r="295" spans="1:26" x14ac:dyDescent="0.2">
      <c r="A295" t="s">
        <v>10</v>
      </c>
      <c r="B295" t="s">
        <v>247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O295" t="s">
        <v>88</v>
      </c>
      <c r="P295" t="s">
        <v>25</v>
      </c>
      <c r="R295">
        <v>0</v>
      </c>
      <c r="S295">
        <v>0</v>
      </c>
      <c r="T295">
        <v>1</v>
      </c>
      <c r="U295">
        <v>950</v>
      </c>
      <c r="V295">
        <v>950</v>
      </c>
      <c r="W295">
        <v>1073.5</v>
      </c>
      <c r="X295">
        <v>108.2</v>
      </c>
      <c r="Z295">
        <v>1</v>
      </c>
    </row>
    <row r="296" spans="1:26" x14ac:dyDescent="0.2">
      <c r="A296" t="s">
        <v>10</v>
      </c>
      <c r="B296" t="s">
        <v>57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O296" t="s">
        <v>14</v>
      </c>
      <c r="P296" t="s">
        <v>9</v>
      </c>
      <c r="R296">
        <v>0</v>
      </c>
      <c r="S296">
        <v>1</v>
      </c>
      <c r="T296">
        <v>2</v>
      </c>
      <c r="U296">
        <v>950</v>
      </c>
      <c r="V296">
        <v>1900</v>
      </c>
      <c r="W296">
        <v>2147</v>
      </c>
      <c r="X296">
        <v>110</v>
      </c>
      <c r="Y296" t="str">
        <f t="shared" si="4"/>
        <v>Door (General) Install</v>
      </c>
      <c r="Z296">
        <v>1</v>
      </c>
    </row>
    <row r="297" spans="1:26" x14ac:dyDescent="0.2">
      <c r="A297" t="s">
        <v>10</v>
      </c>
      <c r="B297" t="s">
        <v>160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1</v>
      </c>
      <c r="L297">
        <v>0</v>
      </c>
      <c r="O297" t="s">
        <v>14</v>
      </c>
      <c r="P297" t="s">
        <v>9</v>
      </c>
      <c r="R297">
        <v>0</v>
      </c>
      <c r="S297">
        <v>1</v>
      </c>
      <c r="T297">
        <v>1</v>
      </c>
      <c r="U297">
        <v>950</v>
      </c>
      <c r="V297">
        <v>950</v>
      </c>
      <c r="W297">
        <v>1073.5</v>
      </c>
      <c r="X297">
        <v>182.26</v>
      </c>
      <c r="Y297" t="str">
        <f t="shared" si="4"/>
        <v>Door (General) Install</v>
      </c>
      <c r="Z297">
        <v>1</v>
      </c>
    </row>
    <row r="298" spans="1:26" x14ac:dyDescent="0.2">
      <c r="A298" t="s">
        <v>10</v>
      </c>
      <c r="B298" t="s">
        <v>45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 t="s">
        <v>248</v>
      </c>
      <c r="O298" t="s">
        <v>14</v>
      </c>
      <c r="P298" t="s">
        <v>9</v>
      </c>
      <c r="Q298" t="s">
        <v>12</v>
      </c>
      <c r="R298">
        <v>0</v>
      </c>
      <c r="S298">
        <v>1</v>
      </c>
      <c r="T298">
        <v>2</v>
      </c>
      <c r="U298">
        <v>850</v>
      </c>
      <c r="V298">
        <v>1700</v>
      </c>
      <c r="W298">
        <v>1921</v>
      </c>
      <c r="X298">
        <v>27.16</v>
      </c>
      <c r="Y298" t="str">
        <f t="shared" si="4"/>
        <v>Door (General) Install</v>
      </c>
      <c r="Z298">
        <v>0</v>
      </c>
    </row>
    <row r="299" spans="1:26" x14ac:dyDescent="0.2">
      <c r="A299" t="s">
        <v>6</v>
      </c>
      <c r="B299" t="s">
        <v>142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O299" t="s">
        <v>14</v>
      </c>
      <c r="P299" t="s">
        <v>9</v>
      </c>
      <c r="R299">
        <v>0</v>
      </c>
      <c r="S299">
        <v>1</v>
      </c>
      <c r="T299">
        <v>11</v>
      </c>
      <c r="U299">
        <v>10010</v>
      </c>
      <c r="V299">
        <v>10010</v>
      </c>
      <c r="W299">
        <v>11311.3</v>
      </c>
      <c r="X299">
        <v>471.62</v>
      </c>
      <c r="Y299" t="str">
        <f t="shared" si="4"/>
        <v>Door (General) Install</v>
      </c>
      <c r="Z299">
        <v>4</v>
      </c>
    </row>
    <row r="300" spans="1:26" x14ac:dyDescent="0.2">
      <c r="A300" t="s">
        <v>10</v>
      </c>
      <c r="B300" t="s">
        <v>30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O300" t="s">
        <v>17</v>
      </c>
      <c r="P300" t="s">
        <v>9</v>
      </c>
      <c r="R300">
        <v>0</v>
      </c>
      <c r="S300">
        <v>0</v>
      </c>
      <c r="T300">
        <v>1</v>
      </c>
      <c r="U300">
        <v>900</v>
      </c>
      <c r="V300">
        <v>900</v>
      </c>
      <c r="W300">
        <v>1017</v>
      </c>
      <c r="X300">
        <v>17.899999999999999</v>
      </c>
      <c r="Z300">
        <v>0</v>
      </c>
    </row>
    <row r="301" spans="1:26" x14ac:dyDescent="0.2">
      <c r="A301" t="s">
        <v>10</v>
      </c>
      <c r="B301" t="s">
        <v>249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O301" t="s">
        <v>24</v>
      </c>
      <c r="P301" t="s">
        <v>9</v>
      </c>
      <c r="R301">
        <v>0</v>
      </c>
      <c r="S301">
        <v>0</v>
      </c>
      <c r="T301">
        <v>2</v>
      </c>
      <c r="U301">
        <v>1800</v>
      </c>
      <c r="V301">
        <v>1800</v>
      </c>
      <c r="W301">
        <v>2034</v>
      </c>
      <c r="X301">
        <v>50.67</v>
      </c>
      <c r="Z301">
        <v>0</v>
      </c>
    </row>
    <row r="302" spans="1:26" x14ac:dyDescent="0.2">
      <c r="A302" t="s">
        <v>6</v>
      </c>
      <c r="B302" t="s">
        <v>249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O302" t="s">
        <v>14</v>
      </c>
      <c r="P302" t="s">
        <v>9</v>
      </c>
      <c r="Q302" t="s">
        <v>12</v>
      </c>
      <c r="R302">
        <v>0</v>
      </c>
      <c r="S302">
        <v>1</v>
      </c>
      <c r="T302">
        <v>2</v>
      </c>
      <c r="U302">
        <v>1800</v>
      </c>
      <c r="V302">
        <v>1800</v>
      </c>
      <c r="W302">
        <v>2034</v>
      </c>
      <c r="X302">
        <v>156.01</v>
      </c>
      <c r="Y302" t="str">
        <f t="shared" si="4"/>
        <v>Door (General) Install</v>
      </c>
      <c r="Z302">
        <v>1</v>
      </c>
    </row>
    <row r="303" spans="1:26" x14ac:dyDescent="0.2">
      <c r="A303" t="s">
        <v>10</v>
      </c>
      <c r="B303" t="s">
        <v>217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O303" t="s">
        <v>14</v>
      </c>
      <c r="P303" t="s">
        <v>9</v>
      </c>
      <c r="R303">
        <v>0</v>
      </c>
      <c r="S303">
        <v>1</v>
      </c>
      <c r="T303">
        <v>1</v>
      </c>
      <c r="U303">
        <v>900</v>
      </c>
      <c r="V303">
        <v>900</v>
      </c>
      <c r="W303">
        <v>1017</v>
      </c>
      <c r="X303">
        <v>173.81</v>
      </c>
      <c r="Y303" t="str">
        <f t="shared" si="4"/>
        <v>Door (General) Install</v>
      </c>
      <c r="Z303">
        <v>1</v>
      </c>
    </row>
    <row r="304" spans="1:26" x14ac:dyDescent="0.2">
      <c r="A304" t="s">
        <v>10</v>
      </c>
      <c r="B304" t="s">
        <v>217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O304" t="s">
        <v>14</v>
      </c>
      <c r="P304" t="s">
        <v>9</v>
      </c>
      <c r="R304">
        <v>0</v>
      </c>
      <c r="S304">
        <v>1</v>
      </c>
      <c r="T304">
        <v>2</v>
      </c>
      <c r="U304">
        <v>900</v>
      </c>
      <c r="V304">
        <v>1800</v>
      </c>
      <c r="W304">
        <v>2034</v>
      </c>
      <c r="X304">
        <v>173.81</v>
      </c>
      <c r="Y304" t="str">
        <f t="shared" si="4"/>
        <v>Door (General) Install</v>
      </c>
      <c r="Z304">
        <v>1</v>
      </c>
    </row>
    <row r="305" spans="1:26" x14ac:dyDescent="0.2">
      <c r="A305" t="s">
        <v>6</v>
      </c>
      <c r="B305" t="s">
        <v>89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O305" t="s">
        <v>14</v>
      </c>
      <c r="P305" t="s">
        <v>9</v>
      </c>
      <c r="R305">
        <v>0</v>
      </c>
      <c r="S305">
        <v>1</v>
      </c>
      <c r="T305">
        <v>3</v>
      </c>
      <c r="U305">
        <v>2700</v>
      </c>
      <c r="V305">
        <v>2700</v>
      </c>
      <c r="W305">
        <v>3051</v>
      </c>
      <c r="X305">
        <v>212</v>
      </c>
      <c r="Y305" t="str">
        <f t="shared" si="4"/>
        <v>Door (General) Install</v>
      </c>
      <c r="Z305">
        <v>2</v>
      </c>
    </row>
    <row r="306" spans="1:26" x14ac:dyDescent="0.2">
      <c r="A306" t="s">
        <v>10</v>
      </c>
      <c r="B306" t="s">
        <v>191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 t="s">
        <v>250</v>
      </c>
      <c r="O306" t="s">
        <v>14</v>
      </c>
      <c r="P306" t="s">
        <v>25</v>
      </c>
      <c r="R306">
        <v>0</v>
      </c>
      <c r="S306">
        <v>1</v>
      </c>
      <c r="T306">
        <v>1</v>
      </c>
      <c r="U306">
        <v>1000</v>
      </c>
      <c r="V306">
        <v>1000</v>
      </c>
      <c r="W306">
        <v>1130</v>
      </c>
      <c r="X306">
        <v>28</v>
      </c>
      <c r="Y306" t="str">
        <f t="shared" si="4"/>
        <v>High Speed Door Install</v>
      </c>
      <c r="Z306">
        <v>0</v>
      </c>
    </row>
    <row r="307" spans="1:26" x14ac:dyDescent="0.2">
      <c r="A307" t="s">
        <v>6</v>
      </c>
      <c r="B307" t="s">
        <v>85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 t="s">
        <v>197</v>
      </c>
      <c r="O307" t="s">
        <v>38</v>
      </c>
      <c r="P307" t="s">
        <v>9</v>
      </c>
      <c r="R307">
        <v>0</v>
      </c>
      <c r="S307">
        <v>0</v>
      </c>
      <c r="T307">
        <v>1</v>
      </c>
      <c r="U307">
        <v>880</v>
      </c>
      <c r="V307">
        <v>880</v>
      </c>
      <c r="W307">
        <v>994.4</v>
      </c>
      <c r="X307">
        <v>244</v>
      </c>
      <c r="Y307" t="str">
        <f t="shared" si="4"/>
        <v>Door (General) Supply &amp; Install</v>
      </c>
      <c r="Z307">
        <v>2</v>
      </c>
    </row>
    <row r="308" spans="1:26" x14ac:dyDescent="0.2">
      <c r="A308" t="s">
        <v>10</v>
      </c>
      <c r="B308" t="s">
        <v>220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O308" t="s">
        <v>14</v>
      </c>
      <c r="P308" t="s">
        <v>9</v>
      </c>
      <c r="R308">
        <v>0</v>
      </c>
      <c r="S308">
        <v>1</v>
      </c>
      <c r="T308">
        <v>2</v>
      </c>
      <c r="U308">
        <v>1750</v>
      </c>
      <c r="V308">
        <v>1750</v>
      </c>
      <c r="W308">
        <v>1977.5</v>
      </c>
      <c r="X308">
        <v>9</v>
      </c>
      <c r="Y308" t="str">
        <f t="shared" si="4"/>
        <v>Door (General) Install</v>
      </c>
      <c r="Z308">
        <v>0</v>
      </c>
    </row>
    <row r="309" spans="1:26" x14ac:dyDescent="0.2">
      <c r="A309" t="s">
        <v>10</v>
      </c>
      <c r="B309" t="s">
        <v>54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O309" t="s">
        <v>14</v>
      </c>
      <c r="P309" t="s">
        <v>205</v>
      </c>
      <c r="R309">
        <v>0</v>
      </c>
      <c r="S309">
        <v>1</v>
      </c>
      <c r="T309">
        <v>2</v>
      </c>
      <c r="U309">
        <v>1750</v>
      </c>
      <c r="V309">
        <v>1750</v>
      </c>
      <c r="W309">
        <v>1977.5</v>
      </c>
      <c r="X309">
        <v>184</v>
      </c>
      <c r="Y309" t="str">
        <f t="shared" si="4"/>
        <v>Fire Door Install</v>
      </c>
      <c r="Z309">
        <v>1</v>
      </c>
    </row>
    <row r="310" spans="1:26" x14ac:dyDescent="0.2">
      <c r="A310" t="s">
        <v>10</v>
      </c>
      <c r="B310" t="s">
        <v>43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O310" t="s">
        <v>14</v>
      </c>
      <c r="P310" t="s">
        <v>9</v>
      </c>
      <c r="Q310" t="s">
        <v>12</v>
      </c>
      <c r="R310">
        <v>0</v>
      </c>
      <c r="S310">
        <v>1</v>
      </c>
      <c r="T310">
        <v>5</v>
      </c>
      <c r="U310">
        <v>875</v>
      </c>
      <c r="V310">
        <v>4375</v>
      </c>
      <c r="W310">
        <v>4943.75</v>
      </c>
      <c r="X310">
        <v>187.45</v>
      </c>
      <c r="Y310" t="str">
        <f t="shared" si="4"/>
        <v>Door (General) Install</v>
      </c>
      <c r="Z310">
        <v>1</v>
      </c>
    </row>
    <row r="311" spans="1:26" x14ac:dyDescent="0.2">
      <c r="A311" t="s">
        <v>10</v>
      </c>
      <c r="B311" t="s">
        <v>60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O311" t="s">
        <v>14</v>
      </c>
      <c r="P311" t="s">
        <v>9</v>
      </c>
      <c r="R311">
        <v>0</v>
      </c>
      <c r="S311">
        <v>1</v>
      </c>
      <c r="T311">
        <v>8</v>
      </c>
      <c r="U311">
        <v>867.5</v>
      </c>
      <c r="V311">
        <v>6940</v>
      </c>
      <c r="W311">
        <v>7842.2</v>
      </c>
      <c r="X311">
        <v>130.11000000000001</v>
      </c>
      <c r="Y311" t="str">
        <f t="shared" si="4"/>
        <v>Door (General) Install</v>
      </c>
      <c r="Z311">
        <v>1</v>
      </c>
    </row>
    <row r="312" spans="1:26" x14ac:dyDescent="0.2">
      <c r="A312" t="s">
        <v>10</v>
      </c>
      <c r="B312" t="s">
        <v>109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O312" t="s">
        <v>14</v>
      </c>
      <c r="P312" t="s">
        <v>9</v>
      </c>
      <c r="Q312" t="s">
        <v>12</v>
      </c>
      <c r="R312">
        <v>0</v>
      </c>
      <c r="S312">
        <v>1</v>
      </c>
      <c r="T312">
        <v>12</v>
      </c>
      <c r="U312">
        <v>10300</v>
      </c>
      <c r="V312">
        <v>10300</v>
      </c>
      <c r="W312">
        <v>11639</v>
      </c>
      <c r="X312">
        <v>138.61000000000001</v>
      </c>
      <c r="Y312" t="str">
        <f t="shared" si="4"/>
        <v>Door (General) Install</v>
      </c>
      <c r="Z312">
        <v>1</v>
      </c>
    </row>
    <row r="313" spans="1:26" x14ac:dyDescent="0.2">
      <c r="A313" t="s">
        <v>10</v>
      </c>
      <c r="B313" t="s">
        <v>122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O313" t="s">
        <v>14</v>
      </c>
      <c r="P313" t="s">
        <v>9</v>
      </c>
      <c r="R313">
        <v>0</v>
      </c>
      <c r="S313">
        <v>1</v>
      </c>
      <c r="T313">
        <v>4</v>
      </c>
      <c r="U313">
        <v>850</v>
      </c>
      <c r="V313">
        <v>3400</v>
      </c>
      <c r="W313">
        <v>3842</v>
      </c>
      <c r="X313">
        <v>173.08</v>
      </c>
      <c r="Y313" t="str">
        <f t="shared" si="4"/>
        <v>Door (General) Install</v>
      </c>
      <c r="Z313">
        <v>1</v>
      </c>
    </row>
    <row r="314" spans="1:26" x14ac:dyDescent="0.2">
      <c r="A314" t="s">
        <v>6</v>
      </c>
      <c r="B314" t="s">
        <v>87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 t="s">
        <v>197</v>
      </c>
      <c r="O314" t="s">
        <v>15</v>
      </c>
      <c r="P314" t="s">
        <v>9</v>
      </c>
      <c r="R314">
        <v>0</v>
      </c>
      <c r="S314">
        <v>0</v>
      </c>
      <c r="T314">
        <v>1</v>
      </c>
      <c r="U314">
        <v>850</v>
      </c>
      <c r="V314">
        <v>850</v>
      </c>
      <c r="W314">
        <v>960.5</v>
      </c>
      <c r="X314">
        <v>231.4</v>
      </c>
      <c r="Z314">
        <v>2</v>
      </c>
    </row>
    <row r="315" spans="1:26" x14ac:dyDescent="0.2">
      <c r="A315" t="s">
        <v>10</v>
      </c>
      <c r="B315" t="s">
        <v>64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 t="s">
        <v>251</v>
      </c>
      <c r="O315" t="s">
        <v>24</v>
      </c>
      <c r="P315" t="s">
        <v>9</v>
      </c>
      <c r="R315">
        <v>0</v>
      </c>
      <c r="S315">
        <v>0</v>
      </c>
      <c r="T315">
        <v>2</v>
      </c>
      <c r="U315">
        <v>837.5</v>
      </c>
      <c r="V315">
        <v>1675</v>
      </c>
      <c r="W315">
        <v>1892.75</v>
      </c>
      <c r="X315">
        <v>38.130000000000003</v>
      </c>
      <c r="Z315">
        <v>0</v>
      </c>
    </row>
    <row r="316" spans="1:26" x14ac:dyDescent="0.2">
      <c r="A316" t="s">
        <v>10</v>
      </c>
      <c r="B316" t="s">
        <v>29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O316" t="s">
        <v>14</v>
      </c>
      <c r="P316" t="s">
        <v>205</v>
      </c>
      <c r="R316">
        <v>0</v>
      </c>
      <c r="S316">
        <v>1</v>
      </c>
      <c r="T316">
        <v>12</v>
      </c>
      <c r="U316">
        <v>10000</v>
      </c>
      <c r="V316">
        <v>10000</v>
      </c>
      <c r="W316">
        <v>11300</v>
      </c>
      <c r="X316">
        <v>17.899999999999999</v>
      </c>
      <c r="Y316" t="str">
        <f t="shared" si="4"/>
        <v>Fire Door Install</v>
      </c>
      <c r="Z316">
        <v>0</v>
      </c>
    </row>
    <row r="317" spans="1:26" x14ac:dyDescent="0.2">
      <c r="A317" t="s">
        <v>10</v>
      </c>
      <c r="B317" t="s">
        <v>185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O317" t="s">
        <v>14</v>
      </c>
      <c r="P317" t="s">
        <v>25</v>
      </c>
      <c r="R317">
        <v>0</v>
      </c>
      <c r="S317">
        <v>1</v>
      </c>
      <c r="T317">
        <v>11</v>
      </c>
      <c r="U317">
        <v>800</v>
      </c>
      <c r="V317">
        <v>8800</v>
      </c>
      <c r="W317">
        <v>9944</v>
      </c>
      <c r="X317">
        <v>16.96</v>
      </c>
      <c r="Y317" t="str">
        <f t="shared" si="4"/>
        <v>High Speed Door Install</v>
      </c>
      <c r="Z317">
        <v>0</v>
      </c>
    </row>
    <row r="318" spans="1:26" x14ac:dyDescent="0.2">
      <c r="A318" t="s">
        <v>6</v>
      </c>
      <c r="B318" t="s">
        <v>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O318" t="s">
        <v>14</v>
      </c>
      <c r="P318" t="s">
        <v>9</v>
      </c>
      <c r="R318">
        <v>0</v>
      </c>
      <c r="S318">
        <v>1</v>
      </c>
      <c r="T318">
        <v>3</v>
      </c>
      <c r="U318">
        <v>2400</v>
      </c>
      <c r="V318">
        <v>2400</v>
      </c>
      <c r="W318">
        <v>2712</v>
      </c>
      <c r="X318">
        <v>33.51</v>
      </c>
      <c r="Y318" t="str">
        <f t="shared" si="4"/>
        <v>Door (General) Install</v>
      </c>
      <c r="Z318">
        <v>0</v>
      </c>
    </row>
    <row r="319" spans="1:26" x14ac:dyDescent="0.2">
      <c r="A319" t="s">
        <v>6</v>
      </c>
      <c r="B319" t="s">
        <v>62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O319" t="s">
        <v>8</v>
      </c>
      <c r="P319" t="s">
        <v>9</v>
      </c>
      <c r="R319">
        <v>0</v>
      </c>
      <c r="S319">
        <v>0</v>
      </c>
      <c r="T319">
        <v>1</v>
      </c>
      <c r="U319">
        <v>800</v>
      </c>
      <c r="V319">
        <v>800</v>
      </c>
      <c r="W319">
        <v>904</v>
      </c>
      <c r="X319">
        <v>36</v>
      </c>
      <c r="Z319">
        <v>0</v>
      </c>
    </row>
    <row r="320" spans="1:26" x14ac:dyDescent="0.2">
      <c r="A320" t="s">
        <v>6</v>
      </c>
      <c r="B320" t="s">
        <v>252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 t="s">
        <v>253</v>
      </c>
      <c r="O320" t="s">
        <v>14</v>
      </c>
      <c r="P320" t="s">
        <v>9</v>
      </c>
      <c r="R320">
        <v>0</v>
      </c>
      <c r="S320">
        <v>1</v>
      </c>
      <c r="T320">
        <v>2</v>
      </c>
      <c r="U320">
        <v>1600</v>
      </c>
      <c r="V320">
        <v>1600</v>
      </c>
      <c r="W320">
        <v>1808</v>
      </c>
      <c r="X320">
        <v>41.98</v>
      </c>
      <c r="Y320" t="str">
        <f t="shared" si="4"/>
        <v>Door (General) Install</v>
      </c>
      <c r="Z320">
        <v>0</v>
      </c>
    </row>
    <row r="321" spans="1:26" x14ac:dyDescent="0.2">
      <c r="A321" t="s">
        <v>10</v>
      </c>
      <c r="B321" t="s">
        <v>69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O321" t="s">
        <v>14</v>
      </c>
      <c r="P321" t="s">
        <v>9</v>
      </c>
      <c r="Q321" t="s">
        <v>254</v>
      </c>
      <c r="R321">
        <v>0</v>
      </c>
      <c r="S321">
        <v>1</v>
      </c>
      <c r="T321">
        <v>1</v>
      </c>
      <c r="U321">
        <v>800</v>
      </c>
      <c r="V321">
        <v>800</v>
      </c>
      <c r="W321">
        <v>904</v>
      </c>
      <c r="X321">
        <v>44.47</v>
      </c>
      <c r="Y321" t="str">
        <f t="shared" si="4"/>
        <v>Door (General) Install</v>
      </c>
      <c r="Z321">
        <v>0</v>
      </c>
    </row>
    <row r="322" spans="1:26" x14ac:dyDescent="0.2">
      <c r="A322" t="s">
        <v>6</v>
      </c>
      <c r="B322" t="s">
        <v>98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O322" t="s">
        <v>8</v>
      </c>
      <c r="P322" t="s">
        <v>9</v>
      </c>
      <c r="R322">
        <v>0</v>
      </c>
      <c r="S322">
        <v>0</v>
      </c>
      <c r="T322">
        <v>1</v>
      </c>
      <c r="U322">
        <v>800</v>
      </c>
      <c r="V322">
        <v>800</v>
      </c>
      <c r="W322">
        <v>904</v>
      </c>
      <c r="X322">
        <v>82</v>
      </c>
      <c r="Z322">
        <v>0</v>
      </c>
    </row>
    <row r="323" spans="1:26" x14ac:dyDescent="0.2">
      <c r="A323" t="s">
        <v>6</v>
      </c>
      <c r="B323" t="s">
        <v>255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 t="s">
        <v>256</v>
      </c>
      <c r="O323" t="s">
        <v>8</v>
      </c>
      <c r="P323" t="s">
        <v>9</v>
      </c>
      <c r="R323">
        <v>0</v>
      </c>
      <c r="S323">
        <v>0</v>
      </c>
      <c r="T323">
        <v>1</v>
      </c>
      <c r="U323">
        <v>800</v>
      </c>
      <c r="V323">
        <v>800</v>
      </c>
      <c r="W323">
        <v>904</v>
      </c>
      <c r="X323">
        <v>92.35</v>
      </c>
      <c r="Z323">
        <v>0</v>
      </c>
    </row>
    <row r="324" spans="1:26" x14ac:dyDescent="0.2">
      <c r="A324" t="s">
        <v>10</v>
      </c>
      <c r="B324" t="s">
        <v>187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O324" t="s">
        <v>14</v>
      </c>
      <c r="P324" t="s">
        <v>205</v>
      </c>
      <c r="R324">
        <v>0</v>
      </c>
      <c r="S324">
        <v>1</v>
      </c>
      <c r="T324">
        <v>1</v>
      </c>
      <c r="U324">
        <v>800</v>
      </c>
      <c r="V324">
        <v>800</v>
      </c>
      <c r="W324">
        <v>904</v>
      </c>
      <c r="X324">
        <v>102</v>
      </c>
      <c r="Y324" t="str">
        <f t="shared" ref="Y322:Y385" si="5">_xlfn.CONCAT($P324&amp;" "&amp;$O324)</f>
        <v>Fire Door Install</v>
      </c>
      <c r="Z324">
        <v>1</v>
      </c>
    </row>
    <row r="325" spans="1:26" x14ac:dyDescent="0.2">
      <c r="A325" t="s">
        <v>10</v>
      </c>
      <c r="B325" t="s">
        <v>54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O325" t="s">
        <v>8</v>
      </c>
      <c r="P325" t="s">
        <v>9</v>
      </c>
      <c r="R325">
        <v>0</v>
      </c>
      <c r="S325">
        <v>0</v>
      </c>
      <c r="T325">
        <v>3</v>
      </c>
      <c r="U325">
        <v>800</v>
      </c>
      <c r="V325">
        <v>2400</v>
      </c>
      <c r="W325">
        <v>2712</v>
      </c>
      <c r="X325">
        <v>108.98</v>
      </c>
      <c r="Z325">
        <v>1</v>
      </c>
    </row>
    <row r="326" spans="1:26" x14ac:dyDescent="0.2">
      <c r="A326" t="s">
        <v>10</v>
      </c>
      <c r="B326" t="s">
        <v>13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1</v>
      </c>
      <c r="L326">
        <v>0</v>
      </c>
      <c r="O326" t="s">
        <v>14</v>
      </c>
      <c r="P326" t="s">
        <v>9</v>
      </c>
      <c r="Q326" t="s">
        <v>12</v>
      </c>
      <c r="R326">
        <v>0</v>
      </c>
      <c r="S326">
        <v>1</v>
      </c>
      <c r="T326">
        <v>1</v>
      </c>
      <c r="U326">
        <v>800</v>
      </c>
      <c r="V326">
        <v>800</v>
      </c>
      <c r="W326">
        <v>904</v>
      </c>
      <c r="X326">
        <v>117.03</v>
      </c>
      <c r="Y326" t="str">
        <f t="shared" si="5"/>
        <v>Door (General) Install</v>
      </c>
      <c r="Z326">
        <v>1</v>
      </c>
    </row>
    <row r="327" spans="1:26" x14ac:dyDescent="0.2">
      <c r="A327" t="s">
        <v>6</v>
      </c>
      <c r="B327" t="s">
        <v>20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O327" t="s">
        <v>8</v>
      </c>
      <c r="P327" t="s">
        <v>9</v>
      </c>
      <c r="R327">
        <v>0</v>
      </c>
      <c r="S327">
        <v>0</v>
      </c>
      <c r="T327">
        <v>1</v>
      </c>
      <c r="U327">
        <v>800</v>
      </c>
      <c r="V327">
        <v>800</v>
      </c>
      <c r="W327">
        <v>904</v>
      </c>
      <c r="X327">
        <v>211.68</v>
      </c>
      <c r="Z327">
        <v>2</v>
      </c>
    </row>
    <row r="328" spans="1:26" x14ac:dyDescent="0.2">
      <c r="A328" t="s">
        <v>10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O328" t="s">
        <v>14</v>
      </c>
      <c r="P328" t="s">
        <v>205</v>
      </c>
      <c r="Q328" t="s">
        <v>146</v>
      </c>
      <c r="R328">
        <v>0</v>
      </c>
      <c r="S328">
        <v>1</v>
      </c>
      <c r="T328">
        <v>1</v>
      </c>
      <c r="U328">
        <v>800</v>
      </c>
      <c r="V328">
        <v>800</v>
      </c>
      <c r="W328">
        <v>904</v>
      </c>
      <c r="X328">
        <v>219.08</v>
      </c>
      <c r="Y328" t="str">
        <f t="shared" si="5"/>
        <v>Fire Door Install</v>
      </c>
      <c r="Z328">
        <v>2</v>
      </c>
    </row>
    <row r="329" spans="1:26" x14ac:dyDescent="0.2">
      <c r="A329" t="s">
        <v>10</v>
      </c>
      <c r="B329" t="s">
        <v>230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0</v>
      </c>
      <c r="O329" t="s">
        <v>8</v>
      </c>
      <c r="P329" t="s">
        <v>9</v>
      </c>
      <c r="Q329" t="s">
        <v>12</v>
      </c>
      <c r="R329">
        <v>0</v>
      </c>
      <c r="S329">
        <v>0</v>
      </c>
      <c r="T329">
        <v>2</v>
      </c>
      <c r="U329">
        <v>1600</v>
      </c>
      <c r="V329">
        <v>1600</v>
      </c>
      <c r="W329">
        <v>1808</v>
      </c>
      <c r="X329">
        <v>558.22</v>
      </c>
      <c r="Z329">
        <v>5</v>
      </c>
    </row>
    <row r="330" spans="1:26" x14ac:dyDescent="0.2">
      <c r="A330" t="s">
        <v>6</v>
      </c>
      <c r="B330" t="s">
        <v>176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 t="s">
        <v>257</v>
      </c>
      <c r="O330" t="s">
        <v>14</v>
      </c>
      <c r="P330" t="s">
        <v>9</v>
      </c>
      <c r="Q330" t="s">
        <v>12</v>
      </c>
      <c r="R330">
        <v>0</v>
      </c>
      <c r="S330">
        <v>1</v>
      </c>
      <c r="T330">
        <v>1</v>
      </c>
      <c r="U330">
        <v>1200</v>
      </c>
      <c r="V330">
        <v>1200</v>
      </c>
      <c r="W330">
        <v>1356</v>
      </c>
      <c r="X330">
        <v>24.37</v>
      </c>
      <c r="Y330" t="str">
        <f t="shared" si="5"/>
        <v>Door (General) Install</v>
      </c>
      <c r="Z330">
        <v>0</v>
      </c>
    </row>
    <row r="331" spans="1:26" x14ac:dyDescent="0.2">
      <c r="A331" t="s">
        <v>6</v>
      </c>
      <c r="B331" t="s">
        <v>52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 t="s">
        <v>257</v>
      </c>
      <c r="O331" t="s">
        <v>14</v>
      </c>
      <c r="P331" t="s">
        <v>9</v>
      </c>
      <c r="Q331" t="s">
        <v>12</v>
      </c>
      <c r="R331">
        <v>0</v>
      </c>
      <c r="S331">
        <v>1</v>
      </c>
      <c r="T331">
        <v>1</v>
      </c>
      <c r="U331">
        <v>1500</v>
      </c>
      <c r="V331">
        <v>1500</v>
      </c>
      <c r="W331">
        <v>1695</v>
      </c>
      <c r="X331">
        <v>32</v>
      </c>
      <c r="Y331" t="str">
        <f t="shared" si="5"/>
        <v>Door (General) Install</v>
      </c>
      <c r="Z331">
        <v>0</v>
      </c>
    </row>
    <row r="332" spans="1:26" x14ac:dyDescent="0.2">
      <c r="A332" t="s">
        <v>10</v>
      </c>
      <c r="B332" t="s">
        <v>85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O332" t="s">
        <v>14</v>
      </c>
      <c r="P332" t="s">
        <v>205</v>
      </c>
      <c r="R332">
        <v>0</v>
      </c>
      <c r="S332">
        <v>1</v>
      </c>
      <c r="T332">
        <v>5</v>
      </c>
      <c r="U332">
        <v>3844.8</v>
      </c>
      <c r="V332">
        <v>3844.8</v>
      </c>
      <c r="W332">
        <v>4344.6239999999998</v>
      </c>
      <c r="X332">
        <v>147.13</v>
      </c>
      <c r="Y332" t="str">
        <f t="shared" si="5"/>
        <v>Fire Door Install</v>
      </c>
      <c r="Z332">
        <v>1</v>
      </c>
    </row>
    <row r="333" spans="1:26" x14ac:dyDescent="0.2">
      <c r="A333" t="s">
        <v>6</v>
      </c>
      <c r="B333" t="s">
        <v>228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O333" t="s">
        <v>17</v>
      </c>
      <c r="P333" t="s">
        <v>9</v>
      </c>
      <c r="R333">
        <v>0</v>
      </c>
      <c r="S333">
        <v>0</v>
      </c>
      <c r="T333">
        <v>3</v>
      </c>
      <c r="U333">
        <v>750</v>
      </c>
      <c r="V333">
        <v>2250</v>
      </c>
      <c r="W333">
        <v>2542.5</v>
      </c>
      <c r="X333">
        <v>12.6</v>
      </c>
      <c r="Z333">
        <v>0</v>
      </c>
    </row>
    <row r="334" spans="1:26" x14ac:dyDescent="0.2">
      <c r="A334" t="s">
        <v>6</v>
      </c>
      <c r="B334" t="s">
        <v>228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O334" t="s">
        <v>17</v>
      </c>
      <c r="P334" t="s">
        <v>9</v>
      </c>
      <c r="R334">
        <v>0</v>
      </c>
      <c r="S334">
        <v>0</v>
      </c>
      <c r="T334">
        <v>3</v>
      </c>
      <c r="U334">
        <v>750</v>
      </c>
      <c r="V334">
        <v>2250</v>
      </c>
      <c r="W334">
        <v>2542.5</v>
      </c>
      <c r="X334">
        <v>36.6</v>
      </c>
      <c r="Z334">
        <v>0</v>
      </c>
    </row>
    <row r="335" spans="1:26" x14ac:dyDescent="0.2">
      <c r="A335" t="s">
        <v>6</v>
      </c>
      <c r="B335" t="s">
        <v>252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O335" t="s">
        <v>8</v>
      </c>
      <c r="P335" t="s">
        <v>9</v>
      </c>
      <c r="R335">
        <v>0</v>
      </c>
      <c r="S335">
        <v>0</v>
      </c>
      <c r="T335">
        <v>3</v>
      </c>
      <c r="U335">
        <v>2250</v>
      </c>
      <c r="V335">
        <v>2250</v>
      </c>
      <c r="W335">
        <v>2542.5</v>
      </c>
      <c r="X335">
        <v>45.6</v>
      </c>
      <c r="Z335">
        <v>0</v>
      </c>
    </row>
    <row r="336" spans="1:26" x14ac:dyDescent="0.2">
      <c r="A336" t="s">
        <v>6</v>
      </c>
      <c r="B336" t="s">
        <v>228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O336" t="s">
        <v>24</v>
      </c>
      <c r="P336" t="s">
        <v>9</v>
      </c>
      <c r="R336">
        <v>0</v>
      </c>
      <c r="S336">
        <v>0</v>
      </c>
      <c r="T336">
        <v>2</v>
      </c>
      <c r="U336">
        <v>750</v>
      </c>
      <c r="V336">
        <v>1500</v>
      </c>
      <c r="W336">
        <v>1695</v>
      </c>
      <c r="X336">
        <v>48.99</v>
      </c>
      <c r="Z336">
        <v>0</v>
      </c>
    </row>
    <row r="337" spans="1:26" x14ac:dyDescent="0.2">
      <c r="A337" t="s">
        <v>6</v>
      </c>
      <c r="B337" t="s">
        <v>47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O337" t="s">
        <v>14</v>
      </c>
      <c r="P337" t="s">
        <v>205</v>
      </c>
      <c r="Q337" t="s">
        <v>146</v>
      </c>
      <c r="R337">
        <v>0</v>
      </c>
      <c r="S337">
        <v>1</v>
      </c>
      <c r="T337">
        <v>1</v>
      </c>
      <c r="U337">
        <v>1000</v>
      </c>
      <c r="V337">
        <v>1000</v>
      </c>
      <c r="W337">
        <v>1130</v>
      </c>
      <c r="X337">
        <v>55.85</v>
      </c>
      <c r="Y337" t="str">
        <f t="shared" si="5"/>
        <v>Fire Door Install</v>
      </c>
      <c r="Z337">
        <v>0</v>
      </c>
    </row>
    <row r="338" spans="1:26" x14ac:dyDescent="0.2">
      <c r="A338" t="s">
        <v>6</v>
      </c>
      <c r="B338" t="s">
        <v>18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O338" t="s">
        <v>14</v>
      </c>
      <c r="P338" t="s">
        <v>205</v>
      </c>
      <c r="Q338" t="s">
        <v>146</v>
      </c>
      <c r="R338">
        <v>0</v>
      </c>
      <c r="S338">
        <v>1</v>
      </c>
      <c r="T338">
        <v>1</v>
      </c>
      <c r="U338">
        <v>1000</v>
      </c>
      <c r="V338">
        <v>1000</v>
      </c>
      <c r="W338">
        <v>1130</v>
      </c>
      <c r="X338">
        <v>67.75</v>
      </c>
      <c r="Y338" t="str">
        <f t="shared" si="5"/>
        <v>Fire Door Install</v>
      </c>
      <c r="Z338">
        <v>0</v>
      </c>
    </row>
    <row r="339" spans="1:26" x14ac:dyDescent="0.2">
      <c r="A339" t="s">
        <v>6</v>
      </c>
      <c r="B339" t="s">
        <v>29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O339" t="s">
        <v>14</v>
      </c>
      <c r="P339" t="s">
        <v>205</v>
      </c>
      <c r="Q339" t="s">
        <v>146</v>
      </c>
      <c r="R339">
        <v>0</v>
      </c>
      <c r="S339">
        <v>1</v>
      </c>
      <c r="T339">
        <v>1</v>
      </c>
      <c r="U339">
        <v>1000</v>
      </c>
      <c r="V339">
        <v>1000</v>
      </c>
      <c r="W339">
        <v>1130</v>
      </c>
      <c r="X339">
        <v>88.11</v>
      </c>
      <c r="Y339" t="str">
        <f t="shared" si="5"/>
        <v>Fire Door Install</v>
      </c>
      <c r="Z339">
        <v>0</v>
      </c>
    </row>
    <row r="340" spans="1:26" x14ac:dyDescent="0.2">
      <c r="A340" t="s">
        <v>10</v>
      </c>
      <c r="B340" t="s">
        <v>168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O340" t="s">
        <v>14</v>
      </c>
      <c r="P340" t="s">
        <v>9</v>
      </c>
      <c r="R340">
        <v>0</v>
      </c>
      <c r="S340">
        <v>1</v>
      </c>
      <c r="T340">
        <v>1</v>
      </c>
      <c r="U340">
        <v>750</v>
      </c>
      <c r="V340">
        <v>750</v>
      </c>
      <c r="W340">
        <v>847.5</v>
      </c>
      <c r="X340">
        <v>132</v>
      </c>
      <c r="Y340" t="str">
        <f t="shared" si="5"/>
        <v>Door (General) Install</v>
      </c>
      <c r="Z340">
        <v>1</v>
      </c>
    </row>
    <row r="341" spans="1:26" x14ac:dyDescent="0.2">
      <c r="A341" t="s">
        <v>42</v>
      </c>
      <c r="B341" t="s">
        <v>244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O341" t="s">
        <v>23</v>
      </c>
      <c r="P341" t="s">
        <v>9</v>
      </c>
      <c r="R341">
        <v>0</v>
      </c>
      <c r="S341">
        <v>0</v>
      </c>
      <c r="T341">
        <v>1</v>
      </c>
      <c r="U341">
        <v>750</v>
      </c>
      <c r="V341">
        <v>750</v>
      </c>
      <c r="W341">
        <v>847.5</v>
      </c>
      <c r="X341">
        <v>212.53</v>
      </c>
      <c r="Z341">
        <v>2</v>
      </c>
    </row>
    <row r="342" spans="1:26" x14ac:dyDescent="0.2">
      <c r="A342" t="s">
        <v>10</v>
      </c>
      <c r="B342" t="s">
        <v>187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O342" t="s">
        <v>14</v>
      </c>
      <c r="P342" t="s">
        <v>205</v>
      </c>
      <c r="Q342" t="s">
        <v>146</v>
      </c>
      <c r="R342">
        <v>0</v>
      </c>
      <c r="S342">
        <v>1</v>
      </c>
      <c r="T342">
        <v>1</v>
      </c>
      <c r="U342">
        <v>1000</v>
      </c>
      <c r="V342">
        <v>1000</v>
      </c>
      <c r="W342">
        <v>1130</v>
      </c>
      <c r="X342">
        <v>284.75</v>
      </c>
      <c r="Y342" t="str">
        <f t="shared" si="5"/>
        <v>Fire Door Install</v>
      </c>
      <c r="Z342">
        <v>2</v>
      </c>
    </row>
    <row r="343" spans="1:26" x14ac:dyDescent="0.2">
      <c r="A343" t="s">
        <v>6</v>
      </c>
      <c r="B343" t="s">
        <v>82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O343" t="s">
        <v>14</v>
      </c>
      <c r="P343" t="s">
        <v>9</v>
      </c>
      <c r="R343">
        <v>0</v>
      </c>
      <c r="S343">
        <v>1</v>
      </c>
      <c r="T343">
        <v>2</v>
      </c>
      <c r="U343">
        <v>1450</v>
      </c>
      <c r="V343">
        <v>1450</v>
      </c>
      <c r="W343">
        <v>1638.5</v>
      </c>
      <c r="X343">
        <v>55.09</v>
      </c>
      <c r="Y343" t="str">
        <f t="shared" si="5"/>
        <v>Door (General) Install</v>
      </c>
      <c r="Z343">
        <v>0</v>
      </c>
    </row>
    <row r="344" spans="1:26" x14ac:dyDescent="0.2">
      <c r="A344" t="s">
        <v>6</v>
      </c>
      <c r="B344" t="s">
        <v>258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O344" t="s">
        <v>14</v>
      </c>
      <c r="P344" t="s">
        <v>9</v>
      </c>
      <c r="R344">
        <v>0</v>
      </c>
      <c r="S344">
        <v>1</v>
      </c>
      <c r="T344">
        <v>5</v>
      </c>
      <c r="U344">
        <v>3600</v>
      </c>
      <c r="V344">
        <v>3600</v>
      </c>
      <c r="W344">
        <v>4068</v>
      </c>
      <c r="X344">
        <v>46.88</v>
      </c>
      <c r="Y344" t="str">
        <f t="shared" si="5"/>
        <v>Door (General) Install</v>
      </c>
      <c r="Z344">
        <v>0</v>
      </c>
    </row>
    <row r="345" spans="1:26" x14ac:dyDescent="0.2">
      <c r="A345" t="s">
        <v>6</v>
      </c>
      <c r="B345" t="s">
        <v>21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O345" t="s">
        <v>17</v>
      </c>
      <c r="P345" t="s">
        <v>9</v>
      </c>
      <c r="R345">
        <v>0</v>
      </c>
      <c r="S345">
        <v>0</v>
      </c>
      <c r="T345">
        <v>5</v>
      </c>
      <c r="U345">
        <v>700</v>
      </c>
      <c r="V345">
        <v>3500</v>
      </c>
      <c r="W345">
        <v>3955</v>
      </c>
      <c r="X345">
        <v>15.01</v>
      </c>
      <c r="Z345">
        <v>0</v>
      </c>
    </row>
    <row r="346" spans="1:26" x14ac:dyDescent="0.2">
      <c r="A346" t="s">
        <v>6</v>
      </c>
      <c r="B346" t="s">
        <v>259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O346" t="s">
        <v>14</v>
      </c>
      <c r="P346" t="s">
        <v>9</v>
      </c>
      <c r="Q346" t="s">
        <v>12</v>
      </c>
      <c r="R346">
        <v>0</v>
      </c>
      <c r="S346">
        <v>1</v>
      </c>
      <c r="T346">
        <v>7</v>
      </c>
      <c r="U346">
        <v>700</v>
      </c>
      <c r="V346">
        <v>4900</v>
      </c>
      <c r="W346">
        <v>5537</v>
      </c>
      <c r="X346">
        <v>21</v>
      </c>
      <c r="Y346" t="str">
        <f t="shared" si="5"/>
        <v>Door (General) Install</v>
      </c>
      <c r="Z346">
        <v>0</v>
      </c>
    </row>
    <row r="347" spans="1:26" x14ac:dyDescent="0.2">
      <c r="A347" t="s">
        <v>42</v>
      </c>
      <c r="B347" t="s">
        <v>18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O347" t="s">
        <v>24</v>
      </c>
      <c r="P347" t="s">
        <v>9</v>
      </c>
      <c r="R347">
        <v>0</v>
      </c>
      <c r="S347">
        <v>0</v>
      </c>
      <c r="T347">
        <v>1</v>
      </c>
      <c r="U347">
        <v>700</v>
      </c>
      <c r="V347">
        <v>700</v>
      </c>
      <c r="W347">
        <v>791</v>
      </c>
      <c r="X347">
        <v>22.96</v>
      </c>
      <c r="Z347">
        <v>0</v>
      </c>
    </row>
    <row r="348" spans="1:26" x14ac:dyDescent="0.2">
      <c r="A348" t="s">
        <v>6</v>
      </c>
      <c r="B348" t="s">
        <v>63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O348" t="s">
        <v>14</v>
      </c>
      <c r="P348" t="s">
        <v>205</v>
      </c>
      <c r="R348">
        <v>0</v>
      </c>
      <c r="S348">
        <v>1</v>
      </c>
      <c r="T348">
        <v>2</v>
      </c>
      <c r="U348">
        <v>1400</v>
      </c>
      <c r="V348">
        <v>1400</v>
      </c>
      <c r="W348">
        <v>1582</v>
      </c>
      <c r="X348">
        <v>45.1</v>
      </c>
      <c r="Y348" t="str">
        <f t="shared" si="5"/>
        <v>Fire Door Install</v>
      </c>
      <c r="Z348">
        <v>0</v>
      </c>
    </row>
    <row r="349" spans="1:26" x14ac:dyDescent="0.2">
      <c r="A349" t="s">
        <v>6</v>
      </c>
      <c r="B349" t="s">
        <v>228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O349" t="s">
        <v>23</v>
      </c>
      <c r="P349" t="s">
        <v>9</v>
      </c>
      <c r="R349">
        <v>0</v>
      </c>
      <c r="S349">
        <v>0</v>
      </c>
      <c r="T349">
        <v>1</v>
      </c>
      <c r="U349">
        <v>700</v>
      </c>
      <c r="V349">
        <v>700</v>
      </c>
      <c r="W349">
        <v>791</v>
      </c>
      <c r="X349">
        <v>46</v>
      </c>
      <c r="Z349">
        <v>0</v>
      </c>
    </row>
    <row r="350" spans="1:26" x14ac:dyDescent="0.2">
      <c r="A350" t="s">
        <v>10</v>
      </c>
      <c r="B350" t="s">
        <v>78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O350" t="s">
        <v>14</v>
      </c>
      <c r="P350" t="s">
        <v>9</v>
      </c>
      <c r="R350">
        <v>0</v>
      </c>
      <c r="S350">
        <v>1</v>
      </c>
      <c r="T350">
        <v>2</v>
      </c>
      <c r="U350">
        <v>700</v>
      </c>
      <c r="V350">
        <v>1400</v>
      </c>
      <c r="W350">
        <v>1582</v>
      </c>
      <c r="X350">
        <v>51.62</v>
      </c>
      <c r="Y350" t="str">
        <f t="shared" si="5"/>
        <v>Door (General) Install</v>
      </c>
      <c r="Z350">
        <v>0</v>
      </c>
    </row>
    <row r="351" spans="1:26" x14ac:dyDescent="0.2">
      <c r="A351" t="s">
        <v>10</v>
      </c>
      <c r="B351" t="s">
        <v>185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O351" t="s">
        <v>14</v>
      </c>
      <c r="P351" t="s">
        <v>36</v>
      </c>
      <c r="R351">
        <v>0</v>
      </c>
      <c r="S351">
        <v>1</v>
      </c>
      <c r="T351">
        <v>14</v>
      </c>
      <c r="U351">
        <v>700</v>
      </c>
      <c r="V351">
        <v>9800</v>
      </c>
      <c r="W351">
        <v>11074</v>
      </c>
      <c r="X351">
        <v>53.39</v>
      </c>
      <c r="Y351" t="str">
        <f t="shared" si="5"/>
        <v>Traffic/Crash Door Install</v>
      </c>
      <c r="Z351">
        <v>0</v>
      </c>
    </row>
    <row r="352" spans="1:26" x14ac:dyDescent="0.2">
      <c r="A352" t="s">
        <v>10</v>
      </c>
      <c r="B352" t="s">
        <v>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O352" t="s">
        <v>14</v>
      </c>
      <c r="P352" t="s">
        <v>9</v>
      </c>
      <c r="Q352" t="s">
        <v>12</v>
      </c>
      <c r="R352">
        <v>0</v>
      </c>
      <c r="S352">
        <v>1</v>
      </c>
      <c r="T352">
        <v>8</v>
      </c>
      <c r="U352">
        <v>700</v>
      </c>
      <c r="V352">
        <v>5600</v>
      </c>
      <c r="W352">
        <v>6328</v>
      </c>
      <c r="X352">
        <v>61.33</v>
      </c>
      <c r="Y352" t="str">
        <f t="shared" si="5"/>
        <v>Door (General) Install</v>
      </c>
      <c r="Z352">
        <v>0</v>
      </c>
    </row>
    <row r="353" spans="1:26" x14ac:dyDescent="0.2">
      <c r="A353" t="s">
        <v>10</v>
      </c>
      <c r="B353" t="s">
        <v>162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O353" t="s">
        <v>17</v>
      </c>
      <c r="P353" t="s">
        <v>9</v>
      </c>
      <c r="R353">
        <v>0</v>
      </c>
      <c r="S353">
        <v>0</v>
      </c>
      <c r="T353">
        <v>1</v>
      </c>
      <c r="U353">
        <v>700</v>
      </c>
      <c r="V353">
        <v>700</v>
      </c>
      <c r="W353">
        <v>791</v>
      </c>
      <c r="X353">
        <v>72</v>
      </c>
      <c r="Z353">
        <v>0</v>
      </c>
    </row>
    <row r="354" spans="1:26" x14ac:dyDescent="0.2">
      <c r="A354" t="s">
        <v>6</v>
      </c>
      <c r="B354" t="s">
        <v>213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O354" t="s">
        <v>14</v>
      </c>
      <c r="P354" t="s">
        <v>9</v>
      </c>
      <c r="R354">
        <v>0</v>
      </c>
      <c r="S354">
        <v>1</v>
      </c>
      <c r="T354">
        <v>3</v>
      </c>
      <c r="U354">
        <v>700</v>
      </c>
      <c r="V354">
        <v>2100</v>
      </c>
      <c r="W354">
        <v>2373</v>
      </c>
      <c r="X354">
        <v>114.73</v>
      </c>
      <c r="Y354" t="str">
        <f t="shared" si="5"/>
        <v>Door (General) Install</v>
      </c>
      <c r="Z354">
        <v>1</v>
      </c>
    </row>
    <row r="355" spans="1:26" x14ac:dyDescent="0.2">
      <c r="A355" t="s">
        <v>6</v>
      </c>
      <c r="B355" t="s">
        <v>107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O355" t="s">
        <v>24</v>
      </c>
      <c r="P355" t="s">
        <v>9</v>
      </c>
      <c r="R355">
        <v>0</v>
      </c>
      <c r="S355">
        <v>0</v>
      </c>
      <c r="T355">
        <v>2</v>
      </c>
      <c r="U355">
        <v>700</v>
      </c>
      <c r="V355">
        <v>1400</v>
      </c>
      <c r="W355">
        <v>1582</v>
      </c>
      <c r="X355">
        <v>123.17</v>
      </c>
      <c r="Z355">
        <v>1</v>
      </c>
    </row>
    <row r="356" spans="1:26" x14ac:dyDescent="0.2">
      <c r="A356" t="s">
        <v>6</v>
      </c>
      <c r="B356" t="s">
        <v>110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O356" t="s">
        <v>24</v>
      </c>
      <c r="P356" t="s">
        <v>9</v>
      </c>
      <c r="R356">
        <v>0</v>
      </c>
      <c r="S356">
        <v>0</v>
      </c>
      <c r="T356">
        <v>1</v>
      </c>
      <c r="U356">
        <v>700</v>
      </c>
      <c r="V356">
        <v>700</v>
      </c>
      <c r="W356">
        <v>791</v>
      </c>
      <c r="X356">
        <v>127.12</v>
      </c>
      <c r="Z356">
        <v>1</v>
      </c>
    </row>
    <row r="357" spans="1:26" x14ac:dyDescent="0.2">
      <c r="A357" t="s">
        <v>10</v>
      </c>
      <c r="B357" t="s">
        <v>160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O357" t="s">
        <v>14</v>
      </c>
      <c r="P357" t="s">
        <v>9</v>
      </c>
      <c r="R357">
        <v>0</v>
      </c>
      <c r="S357">
        <v>1</v>
      </c>
      <c r="T357">
        <v>1</v>
      </c>
      <c r="U357">
        <v>700</v>
      </c>
      <c r="V357">
        <v>700</v>
      </c>
      <c r="W357">
        <v>791</v>
      </c>
      <c r="X357">
        <v>184.54</v>
      </c>
      <c r="Y357" t="str">
        <f t="shared" si="5"/>
        <v>Door (General) Install</v>
      </c>
      <c r="Z357">
        <v>1</v>
      </c>
    </row>
    <row r="358" spans="1:26" x14ac:dyDescent="0.2">
      <c r="A358" t="s">
        <v>6</v>
      </c>
      <c r="B358" t="s">
        <v>78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O358" t="s">
        <v>14</v>
      </c>
      <c r="P358" t="s">
        <v>9</v>
      </c>
      <c r="R358">
        <v>0</v>
      </c>
      <c r="S358">
        <v>1</v>
      </c>
      <c r="T358">
        <v>1</v>
      </c>
      <c r="U358">
        <v>695</v>
      </c>
      <c r="V358">
        <v>695</v>
      </c>
      <c r="W358">
        <v>785.35</v>
      </c>
      <c r="X358">
        <v>417.21</v>
      </c>
      <c r="Y358" t="str">
        <f t="shared" si="5"/>
        <v>Door (General) Install</v>
      </c>
      <c r="Z358">
        <v>4</v>
      </c>
    </row>
    <row r="359" spans="1:26" x14ac:dyDescent="0.2">
      <c r="A359" t="s">
        <v>10</v>
      </c>
      <c r="B359" t="s">
        <v>58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O359" t="s">
        <v>14</v>
      </c>
      <c r="P359" t="s">
        <v>9</v>
      </c>
      <c r="Q359" t="s">
        <v>12</v>
      </c>
      <c r="R359">
        <v>0</v>
      </c>
      <c r="S359">
        <v>1</v>
      </c>
      <c r="T359">
        <v>19</v>
      </c>
      <c r="U359">
        <v>12800</v>
      </c>
      <c r="V359">
        <v>12800</v>
      </c>
      <c r="W359">
        <v>14464</v>
      </c>
      <c r="X359">
        <v>34.229999999999997</v>
      </c>
      <c r="Y359" t="str">
        <f t="shared" si="5"/>
        <v>Door (General) Install</v>
      </c>
      <c r="Z359">
        <v>0</v>
      </c>
    </row>
    <row r="360" spans="1:26" x14ac:dyDescent="0.2">
      <c r="A360" t="s">
        <v>10</v>
      </c>
      <c r="B360" t="s">
        <v>94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O360" t="s">
        <v>14</v>
      </c>
      <c r="P360" t="s">
        <v>9</v>
      </c>
      <c r="Q360" t="s">
        <v>12</v>
      </c>
      <c r="R360">
        <v>0</v>
      </c>
      <c r="S360">
        <v>1</v>
      </c>
      <c r="T360">
        <v>19</v>
      </c>
      <c r="U360">
        <v>12800</v>
      </c>
      <c r="V360">
        <v>12800</v>
      </c>
      <c r="W360">
        <v>14464</v>
      </c>
      <c r="X360">
        <v>78.08</v>
      </c>
      <c r="Y360" t="str">
        <f t="shared" si="5"/>
        <v>Door (General) Install</v>
      </c>
      <c r="Z360">
        <v>0</v>
      </c>
    </row>
    <row r="361" spans="1:26" x14ac:dyDescent="0.2">
      <c r="A361" t="s">
        <v>10</v>
      </c>
      <c r="B361" t="s">
        <v>141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O361" t="s">
        <v>14</v>
      </c>
      <c r="P361" t="s">
        <v>9</v>
      </c>
      <c r="Q361" t="s">
        <v>12</v>
      </c>
      <c r="R361">
        <v>0</v>
      </c>
      <c r="S361">
        <v>1</v>
      </c>
      <c r="T361">
        <v>22</v>
      </c>
      <c r="U361">
        <v>14750</v>
      </c>
      <c r="V361">
        <v>14750</v>
      </c>
      <c r="W361">
        <v>16667.5</v>
      </c>
      <c r="X361">
        <v>462</v>
      </c>
      <c r="Y361" t="str">
        <f t="shared" si="5"/>
        <v>Door (General) Install</v>
      </c>
      <c r="Z361">
        <v>4</v>
      </c>
    </row>
    <row r="362" spans="1:26" x14ac:dyDescent="0.2">
      <c r="A362" t="s">
        <v>10</v>
      </c>
      <c r="B362" t="s">
        <v>48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0</v>
      </c>
      <c r="O362" t="s">
        <v>14</v>
      </c>
      <c r="P362" t="s">
        <v>9</v>
      </c>
      <c r="R362">
        <v>0</v>
      </c>
      <c r="S362">
        <v>1</v>
      </c>
      <c r="T362">
        <v>3</v>
      </c>
      <c r="U362">
        <v>2000</v>
      </c>
      <c r="V362">
        <v>2000</v>
      </c>
      <c r="W362">
        <v>2260</v>
      </c>
      <c r="X362">
        <v>44.47</v>
      </c>
      <c r="Y362" t="str">
        <f t="shared" si="5"/>
        <v>Door (General) Install</v>
      </c>
      <c r="Z362">
        <v>0</v>
      </c>
    </row>
    <row r="363" spans="1:26" x14ac:dyDescent="0.2">
      <c r="A363" t="s">
        <v>6</v>
      </c>
      <c r="B363" t="s">
        <v>260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 t="s">
        <v>178</v>
      </c>
      <c r="O363" t="s">
        <v>38</v>
      </c>
      <c r="P363" t="s">
        <v>9</v>
      </c>
      <c r="R363">
        <v>0</v>
      </c>
      <c r="S363">
        <v>0</v>
      </c>
      <c r="T363">
        <v>1</v>
      </c>
      <c r="U363">
        <v>5350</v>
      </c>
      <c r="V363">
        <v>5350</v>
      </c>
      <c r="W363">
        <v>6045.5</v>
      </c>
      <c r="X363">
        <v>32.26</v>
      </c>
      <c r="Y363" t="str">
        <f t="shared" si="5"/>
        <v>Door (General) Supply &amp; Install</v>
      </c>
      <c r="Z363">
        <v>0</v>
      </c>
    </row>
    <row r="364" spans="1:26" x14ac:dyDescent="0.2">
      <c r="A364" t="s">
        <v>6</v>
      </c>
      <c r="B364" t="s">
        <v>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O364" t="s">
        <v>14</v>
      </c>
      <c r="P364" t="s">
        <v>205</v>
      </c>
      <c r="Q364" t="s">
        <v>146</v>
      </c>
      <c r="R364">
        <v>0</v>
      </c>
      <c r="S364">
        <v>1</v>
      </c>
      <c r="T364">
        <v>2</v>
      </c>
      <c r="U364">
        <v>900</v>
      </c>
      <c r="V364">
        <v>1800</v>
      </c>
      <c r="W364">
        <v>2034</v>
      </c>
      <c r="X364">
        <v>21.49</v>
      </c>
      <c r="Y364" t="str">
        <f t="shared" si="5"/>
        <v>Fire Door Install</v>
      </c>
      <c r="Z364">
        <v>0</v>
      </c>
    </row>
    <row r="365" spans="1:26" x14ac:dyDescent="0.2">
      <c r="A365" t="s">
        <v>6</v>
      </c>
      <c r="B365" t="s">
        <v>50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O365" t="s">
        <v>14</v>
      </c>
      <c r="P365" t="s">
        <v>9</v>
      </c>
      <c r="Q365" t="s">
        <v>12</v>
      </c>
      <c r="R365">
        <v>0</v>
      </c>
      <c r="S365">
        <v>1</v>
      </c>
      <c r="T365">
        <v>2</v>
      </c>
      <c r="U365">
        <v>1300</v>
      </c>
      <c r="V365">
        <v>1300</v>
      </c>
      <c r="W365">
        <v>1469</v>
      </c>
      <c r="X365">
        <v>31.17</v>
      </c>
      <c r="Y365" t="str">
        <f t="shared" si="5"/>
        <v>Door (General) Install</v>
      </c>
      <c r="Z365">
        <v>0</v>
      </c>
    </row>
    <row r="366" spans="1:26" x14ac:dyDescent="0.2">
      <c r="A366" t="s">
        <v>6</v>
      </c>
      <c r="B366" t="s">
        <v>170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O366" t="s">
        <v>24</v>
      </c>
      <c r="P366" t="s">
        <v>9</v>
      </c>
      <c r="R366">
        <v>0</v>
      </c>
      <c r="S366">
        <v>0</v>
      </c>
      <c r="T366">
        <v>1</v>
      </c>
      <c r="U366">
        <v>650</v>
      </c>
      <c r="V366">
        <v>650</v>
      </c>
      <c r="W366">
        <v>734.5</v>
      </c>
      <c r="X366">
        <v>54.67</v>
      </c>
      <c r="Z366">
        <v>0</v>
      </c>
    </row>
    <row r="367" spans="1:26" x14ac:dyDescent="0.2">
      <c r="A367" t="s">
        <v>10</v>
      </c>
      <c r="B367" t="s">
        <v>115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O367" t="s">
        <v>14</v>
      </c>
      <c r="P367" t="s">
        <v>9</v>
      </c>
      <c r="R367">
        <v>0</v>
      </c>
      <c r="S367">
        <v>1</v>
      </c>
      <c r="T367">
        <v>2</v>
      </c>
      <c r="U367">
        <v>650</v>
      </c>
      <c r="V367">
        <v>1300</v>
      </c>
      <c r="W367">
        <v>1469</v>
      </c>
      <c r="X367">
        <v>146.41</v>
      </c>
      <c r="Y367" t="str">
        <f t="shared" si="5"/>
        <v>Door (General) Install</v>
      </c>
      <c r="Z367">
        <v>1</v>
      </c>
    </row>
    <row r="368" spans="1:26" x14ac:dyDescent="0.2">
      <c r="A368" t="s">
        <v>10</v>
      </c>
      <c r="B368" t="s">
        <v>59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O368" t="s">
        <v>14</v>
      </c>
      <c r="P368" t="s">
        <v>9</v>
      </c>
      <c r="R368">
        <v>0</v>
      </c>
      <c r="S368">
        <v>1</v>
      </c>
      <c r="T368">
        <v>11</v>
      </c>
      <c r="U368">
        <v>7000</v>
      </c>
      <c r="V368">
        <v>7000</v>
      </c>
      <c r="W368">
        <v>7910</v>
      </c>
      <c r="X368">
        <v>59.41</v>
      </c>
      <c r="Y368" t="str">
        <f t="shared" si="5"/>
        <v>Door (General) Install</v>
      </c>
      <c r="Z368">
        <v>0</v>
      </c>
    </row>
    <row r="369" spans="1:26" x14ac:dyDescent="0.2">
      <c r="A369" t="s">
        <v>10</v>
      </c>
      <c r="B369" t="s">
        <v>230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O369" t="s">
        <v>14</v>
      </c>
      <c r="P369" t="s">
        <v>205</v>
      </c>
      <c r="R369">
        <v>0</v>
      </c>
      <c r="S369">
        <v>1</v>
      </c>
      <c r="T369">
        <v>14</v>
      </c>
      <c r="U369">
        <v>8850</v>
      </c>
      <c r="V369">
        <v>8850</v>
      </c>
      <c r="W369">
        <v>10000.5</v>
      </c>
      <c r="X369">
        <v>558.22</v>
      </c>
      <c r="Y369" t="str">
        <f t="shared" si="5"/>
        <v>Fire Door Install</v>
      </c>
      <c r="Z369">
        <v>5</v>
      </c>
    </row>
    <row r="370" spans="1:26" x14ac:dyDescent="0.2">
      <c r="A370" t="s">
        <v>6</v>
      </c>
      <c r="B370" t="s">
        <v>13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O370" t="s">
        <v>8</v>
      </c>
      <c r="P370" t="s">
        <v>9</v>
      </c>
      <c r="R370">
        <v>0</v>
      </c>
      <c r="S370">
        <v>0</v>
      </c>
      <c r="T370">
        <v>2</v>
      </c>
      <c r="U370">
        <v>1250</v>
      </c>
      <c r="V370">
        <v>1250</v>
      </c>
      <c r="W370">
        <v>1412.5</v>
      </c>
      <c r="X370">
        <v>45.08</v>
      </c>
      <c r="Z370">
        <v>0</v>
      </c>
    </row>
    <row r="371" spans="1:26" x14ac:dyDescent="0.2">
      <c r="A371" t="s">
        <v>10</v>
      </c>
      <c r="B371" t="s">
        <v>91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O371" t="s">
        <v>14</v>
      </c>
      <c r="P371" t="s">
        <v>9</v>
      </c>
      <c r="R371">
        <v>0</v>
      </c>
      <c r="S371">
        <v>1</v>
      </c>
      <c r="T371">
        <v>6</v>
      </c>
      <c r="U371">
        <v>3680</v>
      </c>
      <c r="V371">
        <v>3680</v>
      </c>
      <c r="W371">
        <v>4158.3999999999996</v>
      </c>
      <c r="X371">
        <v>165.34</v>
      </c>
      <c r="Y371" t="str">
        <f t="shared" si="5"/>
        <v>Door (General) Install</v>
      </c>
      <c r="Z371">
        <v>1</v>
      </c>
    </row>
    <row r="372" spans="1:26" x14ac:dyDescent="0.2">
      <c r="A372" t="s">
        <v>10</v>
      </c>
      <c r="B372" t="s">
        <v>168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O372" t="s">
        <v>14</v>
      </c>
      <c r="P372" t="s">
        <v>9</v>
      </c>
      <c r="R372">
        <v>0</v>
      </c>
      <c r="S372">
        <v>1</v>
      </c>
      <c r="T372">
        <v>3</v>
      </c>
      <c r="U372">
        <v>613</v>
      </c>
      <c r="V372">
        <v>1839</v>
      </c>
      <c r="W372">
        <v>2078.0700000000002</v>
      </c>
      <c r="X372">
        <v>112.26</v>
      </c>
      <c r="Y372" t="str">
        <f t="shared" si="5"/>
        <v>Door (General) Install</v>
      </c>
      <c r="Z372">
        <v>1</v>
      </c>
    </row>
    <row r="373" spans="1:26" x14ac:dyDescent="0.2">
      <c r="A373" t="s">
        <v>6</v>
      </c>
      <c r="B373" t="s">
        <v>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O373" t="s">
        <v>14</v>
      </c>
      <c r="P373" t="s">
        <v>9</v>
      </c>
      <c r="R373">
        <v>0</v>
      </c>
      <c r="S373">
        <v>1</v>
      </c>
      <c r="T373">
        <v>55</v>
      </c>
      <c r="U373">
        <v>33150</v>
      </c>
      <c r="V373">
        <v>33150</v>
      </c>
      <c r="W373">
        <v>37459.5</v>
      </c>
      <c r="X373">
        <v>63</v>
      </c>
      <c r="Y373" t="str">
        <f t="shared" si="5"/>
        <v>Door (General) Install</v>
      </c>
      <c r="Z373">
        <v>0</v>
      </c>
    </row>
    <row r="374" spans="1:26" x14ac:dyDescent="0.2">
      <c r="A374" t="s">
        <v>10</v>
      </c>
      <c r="B374" t="s">
        <v>185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O374" t="s">
        <v>14</v>
      </c>
      <c r="P374" t="s">
        <v>9</v>
      </c>
      <c r="R374">
        <v>0</v>
      </c>
      <c r="S374">
        <v>1</v>
      </c>
      <c r="T374">
        <v>2</v>
      </c>
      <c r="U374">
        <v>600</v>
      </c>
      <c r="V374">
        <v>1200</v>
      </c>
      <c r="W374">
        <v>1356</v>
      </c>
      <c r="X374">
        <v>16.96</v>
      </c>
      <c r="Y374" t="str">
        <f t="shared" si="5"/>
        <v>Door (General) Install</v>
      </c>
      <c r="Z374">
        <v>0</v>
      </c>
    </row>
    <row r="375" spans="1:26" x14ac:dyDescent="0.2">
      <c r="A375" t="s">
        <v>6</v>
      </c>
      <c r="B375" t="s">
        <v>176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O375" t="s">
        <v>24</v>
      </c>
      <c r="P375" t="s">
        <v>9</v>
      </c>
      <c r="R375">
        <v>0</v>
      </c>
      <c r="S375">
        <v>0</v>
      </c>
      <c r="T375">
        <v>1</v>
      </c>
      <c r="U375">
        <v>600</v>
      </c>
      <c r="V375">
        <v>600</v>
      </c>
      <c r="W375">
        <v>678</v>
      </c>
      <c r="X375">
        <v>43.45</v>
      </c>
      <c r="Z375">
        <v>0</v>
      </c>
    </row>
    <row r="376" spans="1:26" x14ac:dyDescent="0.2">
      <c r="A376" t="s">
        <v>6</v>
      </c>
      <c r="B376" t="s">
        <v>176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O376" t="s">
        <v>24</v>
      </c>
      <c r="P376" t="s">
        <v>9</v>
      </c>
      <c r="R376">
        <v>0</v>
      </c>
      <c r="S376">
        <v>0</v>
      </c>
      <c r="T376">
        <v>1</v>
      </c>
      <c r="U376">
        <v>600</v>
      </c>
      <c r="V376">
        <v>600</v>
      </c>
      <c r="W376">
        <v>678</v>
      </c>
      <c r="X376">
        <v>43.45</v>
      </c>
      <c r="Z376">
        <v>0</v>
      </c>
    </row>
    <row r="377" spans="1:26" x14ac:dyDescent="0.2">
      <c r="A377" t="s">
        <v>10</v>
      </c>
      <c r="B377" t="s">
        <v>62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O377" t="s">
        <v>14</v>
      </c>
      <c r="P377" t="s">
        <v>36</v>
      </c>
      <c r="R377">
        <v>0</v>
      </c>
      <c r="S377">
        <v>1</v>
      </c>
      <c r="T377">
        <v>3</v>
      </c>
      <c r="U377">
        <v>600</v>
      </c>
      <c r="V377">
        <v>1800</v>
      </c>
      <c r="W377">
        <v>2034</v>
      </c>
      <c r="X377">
        <v>50.62</v>
      </c>
      <c r="Y377" t="str">
        <f t="shared" si="5"/>
        <v>Traffic/Crash Door Install</v>
      </c>
      <c r="Z377">
        <v>0</v>
      </c>
    </row>
    <row r="378" spans="1:26" x14ac:dyDescent="0.2">
      <c r="A378" t="s">
        <v>6</v>
      </c>
      <c r="B378" t="s">
        <v>87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O378" t="s">
        <v>17</v>
      </c>
      <c r="P378" t="s">
        <v>9</v>
      </c>
      <c r="R378">
        <v>0</v>
      </c>
      <c r="S378">
        <v>0</v>
      </c>
      <c r="T378">
        <v>1</v>
      </c>
      <c r="U378">
        <v>600</v>
      </c>
      <c r="V378">
        <v>600</v>
      </c>
      <c r="W378">
        <v>678</v>
      </c>
      <c r="X378">
        <v>60.05</v>
      </c>
      <c r="Z378">
        <v>0</v>
      </c>
    </row>
    <row r="379" spans="1:26" x14ac:dyDescent="0.2">
      <c r="A379" t="s">
        <v>6</v>
      </c>
      <c r="B379" t="s">
        <v>18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O379" t="s">
        <v>17</v>
      </c>
      <c r="P379" t="s">
        <v>9</v>
      </c>
      <c r="R379">
        <v>0</v>
      </c>
      <c r="S379">
        <v>0</v>
      </c>
      <c r="T379">
        <v>1</v>
      </c>
      <c r="U379">
        <v>600</v>
      </c>
      <c r="V379">
        <v>600</v>
      </c>
      <c r="W379">
        <v>678</v>
      </c>
      <c r="X379">
        <v>68.400000000000006</v>
      </c>
      <c r="Z379">
        <v>0</v>
      </c>
    </row>
    <row r="380" spans="1:26" x14ac:dyDescent="0.2">
      <c r="A380" t="s">
        <v>10</v>
      </c>
      <c r="B380" t="s">
        <v>43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O380" t="s">
        <v>17</v>
      </c>
      <c r="P380" t="s">
        <v>9</v>
      </c>
      <c r="Q380" t="s">
        <v>12</v>
      </c>
      <c r="R380">
        <v>0</v>
      </c>
      <c r="S380">
        <v>0</v>
      </c>
      <c r="T380">
        <v>1</v>
      </c>
      <c r="U380">
        <v>600</v>
      </c>
      <c r="V380">
        <v>600</v>
      </c>
      <c r="W380">
        <v>678</v>
      </c>
      <c r="X380">
        <v>110</v>
      </c>
      <c r="Z380">
        <v>1</v>
      </c>
    </row>
    <row r="381" spans="1:26" x14ac:dyDescent="0.2">
      <c r="A381" t="s">
        <v>10</v>
      </c>
      <c r="B381" t="s">
        <v>62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O381" t="s">
        <v>14</v>
      </c>
      <c r="P381" t="s">
        <v>36</v>
      </c>
      <c r="R381">
        <v>0</v>
      </c>
      <c r="S381">
        <v>1</v>
      </c>
      <c r="T381">
        <v>3</v>
      </c>
      <c r="U381">
        <v>600</v>
      </c>
      <c r="V381">
        <v>1800</v>
      </c>
      <c r="W381">
        <v>2034</v>
      </c>
      <c r="X381">
        <v>156.01</v>
      </c>
      <c r="Y381" t="str">
        <f t="shared" si="5"/>
        <v>Traffic/Crash Door Install</v>
      </c>
      <c r="Z381">
        <v>1</v>
      </c>
    </row>
    <row r="382" spans="1:26" x14ac:dyDescent="0.2">
      <c r="A382" t="s">
        <v>10</v>
      </c>
      <c r="B382" t="s">
        <v>62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O382" t="s">
        <v>14</v>
      </c>
      <c r="P382" t="s">
        <v>36</v>
      </c>
      <c r="R382">
        <v>0</v>
      </c>
      <c r="S382">
        <v>1</v>
      </c>
      <c r="T382">
        <v>4</v>
      </c>
      <c r="U382">
        <v>600</v>
      </c>
      <c r="V382">
        <v>2400</v>
      </c>
      <c r="W382">
        <v>2712</v>
      </c>
      <c r="X382">
        <v>157</v>
      </c>
      <c r="Y382" t="str">
        <f t="shared" si="5"/>
        <v>Traffic/Crash Door Install</v>
      </c>
      <c r="Z382">
        <v>1</v>
      </c>
    </row>
    <row r="383" spans="1:26" x14ac:dyDescent="0.2">
      <c r="A383" t="s">
        <v>10</v>
      </c>
      <c r="B383" t="s">
        <v>217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0</v>
      </c>
      <c r="O383" t="s">
        <v>14</v>
      </c>
      <c r="P383" t="s">
        <v>9</v>
      </c>
      <c r="R383">
        <v>0</v>
      </c>
      <c r="S383">
        <v>1</v>
      </c>
      <c r="T383">
        <v>2</v>
      </c>
      <c r="U383">
        <v>600</v>
      </c>
      <c r="V383">
        <v>1200</v>
      </c>
      <c r="W383">
        <v>1356</v>
      </c>
      <c r="X383">
        <v>173.81</v>
      </c>
      <c r="Y383" t="str">
        <f t="shared" si="5"/>
        <v>Door (General) Install</v>
      </c>
      <c r="Z383">
        <v>1</v>
      </c>
    </row>
    <row r="384" spans="1:26" x14ac:dyDescent="0.2">
      <c r="A384" t="s">
        <v>6</v>
      </c>
      <c r="B384" t="s">
        <v>261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O384" t="s">
        <v>14</v>
      </c>
      <c r="P384" t="s">
        <v>9</v>
      </c>
      <c r="R384">
        <v>0</v>
      </c>
      <c r="S384">
        <v>1</v>
      </c>
      <c r="T384">
        <v>6</v>
      </c>
      <c r="U384">
        <v>600</v>
      </c>
      <c r="V384">
        <v>3600</v>
      </c>
      <c r="W384">
        <v>4068</v>
      </c>
      <c r="X384">
        <v>211.68</v>
      </c>
      <c r="Y384" t="str">
        <f t="shared" si="5"/>
        <v>Door (General) Install</v>
      </c>
      <c r="Z384">
        <v>2</v>
      </c>
    </row>
    <row r="385" spans="1:26" x14ac:dyDescent="0.2">
      <c r="A385" t="s">
        <v>10</v>
      </c>
      <c r="B385" t="s">
        <v>37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 t="s">
        <v>163</v>
      </c>
      <c r="O385" t="s">
        <v>14</v>
      </c>
      <c r="P385" t="s">
        <v>9</v>
      </c>
      <c r="R385">
        <v>0</v>
      </c>
      <c r="S385">
        <v>1</v>
      </c>
      <c r="T385">
        <v>26</v>
      </c>
      <c r="U385">
        <v>14800</v>
      </c>
      <c r="V385">
        <v>14800</v>
      </c>
      <c r="W385">
        <v>16724</v>
      </c>
      <c r="X385">
        <v>108.4</v>
      </c>
      <c r="Y385" t="str">
        <f t="shared" si="5"/>
        <v>Door (General) Install</v>
      </c>
      <c r="Z385">
        <v>1</v>
      </c>
    </row>
    <row r="386" spans="1:26" x14ac:dyDescent="0.2">
      <c r="A386" t="s">
        <v>6</v>
      </c>
      <c r="B386" t="s">
        <v>41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 t="s">
        <v>251</v>
      </c>
      <c r="O386" t="s">
        <v>14</v>
      </c>
      <c r="P386" t="s">
        <v>9</v>
      </c>
      <c r="Q386" t="s">
        <v>12</v>
      </c>
      <c r="R386">
        <v>0</v>
      </c>
      <c r="S386">
        <v>1</v>
      </c>
      <c r="T386">
        <v>1</v>
      </c>
      <c r="U386">
        <v>1200</v>
      </c>
      <c r="V386">
        <v>1200</v>
      </c>
      <c r="W386">
        <v>1356</v>
      </c>
      <c r="X386">
        <v>22.72</v>
      </c>
      <c r="Y386" t="str">
        <f t="shared" ref="Y386:Y449" si="6">_xlfn.CONCAT($P386&amp;" "&amp;$O386)</f>
        <v>Door (General) Install</v>
      </c>
      <c r="Z386">
        <v>0</v>
      </c>
    </row>
    <row r="387" spans="1:26" x14ac:dyDescent="0.2">
      <c r="A387" t="s">
        <v>10</v>
      </c>
      <c r="B387" t="s">
        <v>30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O387" t="s">
        <v>14</v>
      </c>
      <c r="P387" t="s">
        <v>9</v>
      </c>
      <c r="R387">
        <v>0</v>
      </c>
      <c r="S387">
        <v>1</v>
      </c>
      <c r="T387">
        <v>1</v>
      </c>
      <c r="U387">
        <v>550</v>
      </c>
      <c r="V387">
        <v>550</v>
      </c>
      <c r="W387">
        <v>621.5</v>
      </c>
      <c r="X387">
        <v>61.33</v>
      </c>
      <c r="Y387" t="str">
        <f t="shared" si="6"/>
        <v>Door (General) Install</v>
      </c>
      <c r="Z387">
        <v>0</v>
      </c>
    </row>
    <row r="388" spans="1:26" x14ac:dyDescent="0.2">
      <c r="A388" t="s">
        <v>10</v>
      </c>
      <c r="B388" t="s">
        <v>111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1</v>
      </c>
      <c r="L388">
        <v>0</v>
      </c>
      <c r="O388" t="s">
        <v>14</v>
      </c>
      <c r="P388" t="s">
        <v>9</v>
      </c>
      <c r="Q388" t="s">
        <v>12</v>
      </c>
      <c r="R388">
        <v>0</v>
      </c>
      <c r="S388">
        <v>1</v>
      </c>
      <c r="T388">
        <v>2</v>
      </c>
      <c r="U388">
        <v>1100</v>
      </c>
      <c r="V388">
        <v>1100</v>
      </c>
      <c r="W388">
        <v>1243</v>
      </c>
      <c r="X388">
        <v>136.29</v>
      </c>
      <c r="Y388" t="str">
        <f t="shared" si="6"/>
        <v>Door (General) Install</v>
      </c>
      <c r="Z388">
        <v>1</v>
      </c>
    </row>
    <row r="389" spans="1:26" x14ac:dyDescent="0.2">
      <c r="A389" t="s">
        <v>6</v>
      </c>
      <c r="B389" t="s">
        <v>112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O389" t="s">
        <v>14</v>
      </c>
      <c r="P389" t="s">
        <v>9</v>
      </c>
      <c r="R389">
        <v>0</v>
      </c>
      <c r="S389">
        <v>1</v>
      </c>
      <c r="T389">
        <v>33</v>
      </c>
      <c r="U389">
        <v>550</v>
      </c>
      <c r="V389">
        <v>18150</v>
      </c>
      <c r="W389">
        <v>20509.5</v>
      </c>
      <c r="X389">
        <v>138.61000000000001</v>
      </c>
      <c r="Y389" t="str">
        <f t="shared" si="6"/>
        <v>Door (General) Install</v>
      </c>
      <c r="Z389">
        <v>1</v>
      </c>
    </row>
    <row r="390" spans="1:26" x14ac:dyDescent="0.2">
      <c r="A390" t="s">
        <v>6</v>
      </c>
      <c r="B390" t="s">
        <v>113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O390" t="s">
        <v>14</v>
      </c>
      <c r="P390" t="s">
        <v>9</v>
      </c>
      <c r="R390">
        <v>0</v>
      </c>
      <c r="S390">
        <v>1</v>
      </c>
      <c r="T390">
        <v>4</v>
      </c>
      <c r="U390">
        <v>2200</v>
      </c>
      <c r="V390">
        <v>2200</v>
      </c>
      <c r="W390">
        <v>2486</v>
      </c>
      <c r="X390">
        <v>141.1</v>
      </c>
      <c r="Y390" t="str">
        <f t="shared" si="6"/>
        <v>Door (General) Install</v>
      </c>
      <c r="Z390">
        <v>1</v>
      </c>
    </row>
    <row r="391" spans="1:26" x14ac:dyDescent="0.2">
      <c r="A391" t="s">
        <v>10</v>
      </c>
      <c r="B391" t="s">
        <v>262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0</v>
      </c>
      <c r="O391" t="s">
        <v>14</v>
      </c>
      <c r="P391" t="s">
        <v>9</v>
      </c>
      <c r="R391">
        <v>0</v>
      </c>
      <c r="S391">
        <v>1</v>
      </c>
      <c r="T391">
        <v>23</v>
      </c>
      <c r="U391">
        <v>550</v>
      </c>
      <c r="V391">
        <v>12650</v>
      </c>
      <c r="W391">
        <v>14294.5</v>
      </c>
      <c r="X391">
        <v>558.22</v>
      </c>
      <c r="Y391" t="str">
        <f t="shared" si="6"/>
        <v>Door (General) Install</v>
      </c>
      <c r="Z391">
        <v>5</v>
      </c>
    </row>
    <row r="392" spans="1:26" x14ac:dyDescent="0.2">
      <c r="A392" t="s">
        <v>6</v>
      </c>
      <c r="B392" t="s">
        <v>138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 t="s">
        <v>251</v>
      </c>
      <c r="O392" t="s">
        <v>24</v>
      </c>
      <c r="P392" t="s">
        <v>9</v>
      </c>
      <c r="R392">
        <v>0</v>
      </c>
      <c r="S392">
        <v>0</v>
      </c>
      <c r="T392">
        <v>1</v>
      </c>
      <c r="U392">
        <v>516</v>
      </c>
      <c r="V392">
        <v>516</v>
      </c>
      <c r="W392">
        <v>583.08000000000004</v>
      </c>
      <c r="X392">
        <v>349.43</v>
      </c>
      <c r="Z392">
        <v>3</v>
      </c>
    </row>
    <row r="393" spans="1:26" x14ac:dyDescent="0.2">
      <c r="A393" t="s">
        <v>6</v>
      </c>
      <c r="B393" t="s">
        <v>39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O393" t="s">
        <v>14</v>
      </c>
      <c r="P393" t="s">
        <v>9</v>
      </c>
      <c r="R393">
        <v>0</v>
      </c>
      <c r="S393">
        <v>1</v>
      </c>
      <c r="T393">
        <v>11</v>
      </c>
      <c r="U393">
        <v>500</v>
      </c>
      <c r="V393">
        <v>5500</v>
      </c>
      <c r="W393">
        <v>6215</v>
      </c>
      <c r="X393">
        <v>22</v>
      </c>
      <c r="Y393" t="str">
        <f t="shared" si="6"/>
        <v>Door (General) Install</v>
      </c>
      <c r="Z393">
        <v>0</v>
      </c>
    </row>
    <row r="394" spans="1:26" x14ac:dyDescent="0.2">
      <c r="A394" t="s">
        <v>42</v>
      </c>
      <c r="B394" t="s">
        <v>57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O394" t="s">
        <v>14</v>
      </c>
      <c r="P394" t="s">
        <v>9</v>
      </c>
      <c r="Q394" t="s">
        <v>12</v>
      </c>
      <c r="R394">
        <v>0</v>
      </c>
      <c r="S394">
        <v>1</v>
      </c>
      <c r="T394">
        <v>1</v>
      </c>
      <c r="U394">
        <v>500</v>
      </c>
      <c r="V394">
        <v>500</v>
      </c>
      <c r="W394">
        <v>565</v>
      </c>
      <c r="X394">
        <v>34.03</v>
      </c>
      <c r="Y394" t="str">
        <f t="shared" si="6"/>
        <v>Door (General) Install</v>
      </c>
      <c r="Z394">
        <v>0</v>
      </c>
    </row>
    <row r="395" spans="1:26" x14ac:dyDescent="0.2">
      <c r="A395" t="s">
        <v>42</v>
      </c>
      <c r="B395" t="s">
        <v>59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O395" t="s">
        <v>17</v>
      </c>
      <c r="P395" t="s">
        <v>9</v>
      </c>
      <c r="R395">
        <v>0</v>
      </c>
      <c r="S395">
        <v>0</v>
      </c>
      <c r="T395">
        <v>1</v>
      </c>
      <c r="U395">
        <v>500</v>
      </c>
      <c r="V395">
        <v>500</v>
      </c>
      <c r="W395">
        <v>565</v>
      </c>
      <c r="X395">
        <v>35.020000000000003</v>
      </c>
      <c r="Z395">
        <v>0</v>
      </c>
    </row>
    <row r="396" spans="1:26" x14ac:dyDescent="0.2">
      <c r="A396" t="s">
        <v>10</v>
      </c>
      <c r="B396" t="s">
        <v>68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O396" t="s">
        <v>14</v>
      </c>
      <c r="P396" t="s">
        <v>9</v>
      </c>
      <c r="Q396" t="s">
        <v>12</v>
      </c>
      <c r="R396">
        <v>0</v>
      </c>
      <c r="S396">
        <v>1</v>
      </c>
      <c r="T396">
        <v>12</v>
      </c>
      <c r="U396">
        <v>500</v>
      </c>
      <c r="V396">
        <v>6000</v>
      </c>
      <c r="W396">
        <v>6780</v>
      </c>
      <c r="X396">
        <v>44</v>
      </c>
      <c r="Y396" t="str">
        <f t="shared" si="6"/>
        <v>Door (General) Install</v>
      </c>
      <c r="Z396">
        <v>0</v>
      </c>
    </row>
    <row r="397" spans="1:26" x14ac:dyDescent="0.2">
      <c r="A397" t="s">
        <v>10</v>
      </c>
      <c r="B397" t="s">
        <v>209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O397" t="s">
        <v>24</v>
      </c>
      <c r="P397" t="s">
        <v>9</v>
      </c>
      <c r="R397">
        <v>0</v>
      </c>
      <c r="S397">
        <v>0</v>
      </c>
      <c r="T397">
        <v>1</v>
      </c>
      <c r="U397">
        <v>500</v>
      </c>
      <c r="V397">
        <v>500</v>
      </c>
      <c r="W397">
        <v>565</v>
      </c>
      <c r="X397">
        <v>45.73</v>
      </c>
      <c r="Z397">
        <v>0</v>
      </c>
    </row>
    <row r="398" spans="1:26" x14ac:dyDescent="0.2">
      <c r="A398" t="s">
        <v>10</v>
      </c>
      <c r="B398" t="s">
        <v>65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O398" t="s">
        <v>14</v>
      </c>
      <c r="P398" t="s">
        <v>9</v>
      </c>
      <c r="R398">
        <v>0</v>
      </c>
      <c r="S398">
        <v>1</v>
      </c>
      <c r="T398">
        <v>2</v>
      </c>
      <c r="U398">
        <v>500</v>
      </c>
      <c r="V398">
        <v>1000</v>
      </c>
      <c r="W398">
        <v>1130</v>
      </c>
      <c r="X398">
        <v>50.65</v>
      </c>
      <c r="Y398" t="str">
        <f t="shared" si="6"/>
        <v>Door (General) Install</v>
      </c>
      <c r="Z398">
        <v>0</v>
      </c>
    </row>
    <row r="399" spans="1:26" x14ac:dyDescent="0.2">
      <c r="A399" t="s">
        <v>10</v>
      </c>
      <c r="B399" t="s">
        <v>95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O399" t="s">
        <v>23</v>
      </c>
      <c r="P399" t="s">
        <v>9</v>
      </c>
      <c r="R399">
        <v>0</v>
      </c>
      <c r="S399">
        <v>0</v>
      </c>
      <c r="T399">
        <v>2</v>
      </c>
      <c r="U399">
        <v>500</v>
      </c>
      <c r="V399">
        <v>1000</v>
      </c>
      <c r="W399">
        <v>1130</v>
      </c>
      <c r="X399">
        <v>78.08</v>
      </c>
      <c r="Z399">
        <v>0</v>
      </c>
    </row>
    <row r="400" spans="1:26" x14ac:dyDescent="0.2">
      <c r="A400" t="s">
        <v>10</v>
      </c>
      <c r="B400" t="s">
        <v>263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O400" t="s">
        <v>17</v>
      </c>
      <c r="P400" t="s">
        <v>9</v>
      </c>
      <c r="R400">
        <v>0</v>
      </c>
      <c r="S400">
        <v>0</v>
      </c>
      <c r="T400">
        <v>1</v>
      </c>
      <c r="U400">
        <v>500</v>
      </c>
      <c r="V400">
        <v>500</v>
      </c>
      <c r="W400">
        <v>565</v>
      </c>
      <c r="X400">
        <v>78.599999999999994</v>
      </c>
      <c r="Z400">
        <v>0</v>
      </c>
    </row>
    <row r="401" spans="1:26" x14ac:dyDescent="0.2">
      <c r="A401" t="s">
        <v>6</v>
      </c>
      <c r="B401" t="s">
        <v>164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O401" t="s">
        <v>14</v>
      </c>
      <c r="P401" t="s">
        <v>9</v>
      </c>
      <c r="Q401" t="s">
        <v>12</v>
      </c>
      <c r="R401">
        <v>0</v>
      </c>
      <c r="S401">
        <v>1</v>
      </c>
      <c r="T401">
        <v>10</v>
      </c>
      <c r="U401">
        <v>500</v>
      </c>
      <c r="V401">
        <v>5000</v>
      </c>
      <c r="W401">
        <v>5650</v>
      </c>
      <c r="X401">
        <v>83.18</v>
      </c>
      <c r="Y401" t="str">
        <f t="shared" si="6"/>
        <v>Door (General) Install</v>
      </c>
      <c r="Z401">
        <v>0</v>
      </c>
    </row>
    <row r="402" spans="1:26" x14ac:dyDescent="0.2">
      <c r="A402" t="s">
        <v>10</v>
      </c>
      <c r="B402" t="s">
        <v>62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O402" t="s">
        <v>14</v>
      </c>
      <c r="P402" t="s">
        <v>36</v>
      </c>
      <c r="R402">
        <v>0</v>
      </c>
      <c r="S402">
        <v>1</v>
      </c>
      <c r="T402">
        <v>2</v>
      </c>
      <c r="U402">
        <v>500</v>
      </c>
      <c r="V402">
        <v>1000</v>
      </c>
      <c r="W402">
        <v>1130</v>
      </c>
      <c r="X402">
        <v>156.01</v>
      </c>
      <c r="Y402" t="str">
        <f t="shared" si="6"/>
        <v>Traffic/Crash Door Install</v>
      </c>
      <c r="Z402">
        <v>1</v>
      </c>
    </row>
    <row r="403" spans="1:26" x14ac:dyDescent="0.2">
      <c r="A403" t="s">
        <v>10</v>
      </c>
      <c r="B403" t="s">
        <v>62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O403" t="s">
        <v>14</v>
      </c>
      <c r="P403" t="s">
        <v>36</v>
      </c>
      <c r="R403">
        <v>0</v>
      </c>
      <c r="S403">
        <v>1</v>
      </c>
      <c r="T403">
        <v>2</v>
      </c>
      <c r="U403">
        <v>500</v>
      </c>
      <c r="V403">
        <v>1000</v>
      </c>
      <c r="W403">
        <v>1130</v>
      </c>
      <c r="X403">
        <v>156.1</v>
      </c>
      <c r="Y403" t="str">
        <f t="shared" si="6"/>
        <v>Traffic/Crash Door Install</v>
      </c>
      <c r="Z403">
        <v>1</v>
      </c>
    </row>
    <row r="404" spans="1:26" x14ac:dyDescent="0.2">
      <c r="A404" t="s">
        <v>10</v>
      </c>
      <c r="B404" t="s">
        <v>79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O404" t="s">
        <v>14</v>
      </c>
      <c r="P404" t="s">
        <v>9</v>
      </c>
      <c r="Q404" t="s">
        <v>12</v>
      </c>
      <c r="R404">
        <v>0</v>
      </c>
      <c r="S404">
        <v>1</v>
      </c>
      <c r="T404">
        <v>78</v>
      </c>
      <c r="U404">
        <v>38850</v>
      </c>
      <c r="V404">
        <v>38850</v>
      </c>
      <c r="W404">
        <v>43900.5</v>
      </c>
      <c r="X404">
        <v>51.84</v>
      </c>
      <c r="Y404" t="str">
        <f t="shared" si="6"/>
        <v>Door (General) Install</v>
      </c>
      <c r="Z404">
        <v>0</v>
      </c>
    </row>
    <row r="405" spans="1:26" x14ac:dyDescent="0.2">
      <c r="A405" t="s">
        <v>6</v>
      </c>
      <c r="B405" t="s">
        <v>47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O405" t="s">
        <v>14</v>
      </c>
      <c r="P405" t="s">
        <v>9</v>
      </c>
      <c r="R405">
        <v>0</v>
      </c>
      <c r="S405">
        <v>1</v>
      </c>
      <c r="T405">
        <v>7</v>
      </c>
      <c r="U405">
        <v>3256</v>
      </c>
      <c r="V405">
        <v>3256</v>
      </c>
      <c r="W405">
        <v>3679.28</v>
      </c>
      <c r="X405">
        <v>82.39</v>
      </c>
      <c r="Y405" t="str">
        <f t="shared" si="6"/>
        <v>Door (General) Install</v>
      </c>
      <c r="Z405">
        <v>0</v>
      </c>
    </row>
    <row r="406" spans="1:26" x14ac:dyDescent="0.2">
      <c r="A406" t="s">
        <v>6</v>
      </c>
      <c r="B406" t="s">
        <v>54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O406" t="s">
        <v>17</v>
      </c>
      <c r="P406" t="s">
        <v>9</v>
      </c>
      <c r="R406">
        <v>0</v>
      </c>
      <c r="S406">
        <v>0</v>
      </c>
      <c r="T406">
        <v>1</v>
      </c>
      <c r="U406">
        <v>450</v>
      </c>
      <c r="V406">
        <v>450</v>
      </c>
      <c r="W406">
        <v>508.5</v>
      </c>
      <c r="X406">
        <v>34.03</v>
      </c>
      <c r="Z406">
        <v>0</v>
      </c>
    </row>
    <row r="407" spans="1:26" x14ac:dyDescent="0.2">
      <c r="A407" t="s">
        <v>42</v>
      </c>
      <c r="B407" t="s">
        <v>264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O407" t="s">
        <v>14</v>
      </c>
      <c r="P407" t="s">
        <v>9</v>
      </c>
      <c r="R407">
        <v>0</v>
      </c>
      <c r="S407">
        <v>1</v>
      </c>
      <c r="T407">
        <v>1</v>
      </c>
      <c r="U407">
        <v>450</v>
      </c>
      <c r="V407">
        <v>450</v>
      </c>
      <c r="W407">
        <v>508.5</v>
      </c>
      <c r="X407">
        <v>40.78</v>
      </c>
      <c r="Y407" t="str">
        <f t="shared" si="6"/>
        <v>Door (General) Install</v>
      </c>
      <c r="Z407">
        <v>0</v>
      </c>
    </row>
    <row r="408" spans="1:26" x14ac:dyDescent="0.2">
      <c r="A408" t="s">
        <v>10</v>
      </c>
      <c r="B408" t="s">
        <v>123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O408" t="s">
        <v>14</v>
      </c>
      <c r="P408" t="s">
        <v>9</v>
      </c>
      <c r="R408">
        <v>0</v>
      </c>
      <c r="S408">
        <v>1</v>
      </c>
      <c r="T408">
        <v>120</v>
      </c>
      <c r="U408">
        <v>54000</v>
      </c>
      <c r="V408">
        <v>54000</v>
      </c>
      <c r="W408">
        <v>61020</v>
      </c>
      <c r="X408">
        <v>234</v>
      </c>
      <c r="Y408" t="str">
        <f t="shared" si="6"/>
        <v>Door (General) Install</v>
      </c>
      <c r="Z408">
        <v>2</v>
      </c>
    </row>
    <row r="409" spans="1:26" x14ac:dyDescent="0.2">
      <c r="A409" t="s">
        <v>10</v>
      </c>
      <c r="B409" t="s">
        <v>125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O409" t="s">
        <v>14</v>
      </c>
      <c r="P409" t="s">
        <v>9</v>
      </c>
      <c r="R409">
        <v>0</v>
      </c>
      <c r="S409">
        <v>1</v>
      </c>
      <c r="T409">
        <v>60</v>
      </c>
      <c r="U409">
        <v>24215</v>
      </c>
      <c r="V409">
        <v>24215</v>
      </c>
      <c r="W409">
        <v>27362.95</v>
      </c>
      <c r="X409">
        <v>200</v>
      </c>
      <c r="Y409" t="str">
        <f t="shared" si="6"/>
        <v>Door (General) Install</v>
      </c>
      <c r="Z409">
        <v>1</v>
      </c>
    </row>
    <row r="410" spans="1:26" x14ac:dyDescent="0.2">
      <c r="A410" t="s">
        <v>6</v>
      </c>
      <c r="B410" t="s">
        <v>32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O410" t="s">
        <v>14</v>
      </c>
      <c r="P410" t="s">
        <v>9</v>
      </c>
      <c r="R410">
        <v>0</v>
      </c>
      <c r="S410">
        <v>1</v>
      </c>
      <c r="T410">
        <v>2</v>
      </c>
      <c r="U410">
        <v>800</v>
      </c>
      <c r="V410">
        <v>800</v>
      </c>
      <c r="W410">
        <v>904</v>
      </c>
      <c r="X410">
        <v>18.57</v>
      </c>
      <c r="Y410" t="str">
        <f t="shared" si="6"/>
        <v>Door (General) Install</v>
      </c>
      <c r="Z410">
        <v>0</v>
      </c>
    </row>
    <row r="411" spans="1:26" x14ac:dyDescent="0.2">
      <c r="A411" t="s">
        <v>6</v>
      </c>
      <c r="B411" t="s">
        <v>53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O411" t="s">
        <v>31</v>
      </c>
      <c r="P411" t="s">
        <v>9</v>
      </c>
      <c r="R411">
        <v>0</v>
      </c>
      <c r="S411">
        <v>0</v>
      </c>
      <c r="T411">
        <v>1</v>
      </c>
      <c r="U411">
        <v>400</v>
      </c>
      <c r="V411">
        <v>400</v>
      </c>
      <c r="W411">
        <v>452</v>
      </c>
      <c r="X411">
        <v>33.6</v>
      </c>
      <c r="Z411">
        <v>0</v>
      </c>
    </row>
    <row r="412" spans="1:26" x14ac:dyDescent="0.2">
      <c r="A412" t="s">
        <v>6</v>
      </c>
      <c r="B412" t="s">
        <v>56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O412" t="s">
        <v>14</v>
      </c>
      <c r="P412" t="s">
        <v>9</v>
      </c>
      <c r="Q412" t="s">
        <v>12</v>
      </c>
      <c r="R412">
        <v>0</v>
      </c>
      <c r="S412">
        <v>1</v>
      </c>
      <c r="T412">
        <v>1</v>
      </c>
      <c r="U412">
        <v>400</v>
      </c>
      <c r="V412">
        <v>400</v>
      </c>
      <c r="W412">
        <v>452</v>
      </c>
      <c r="X412">
        <v>34.03</v>
      </c>
      <c r="Y412" t="str">
        <f t="shared" si="6"/>
        <v>Door (General) Install</v>
      </c>
      <c r="Z412">
        <v>0</v>
      </c>
    </row>
    <row r="413" spans="1:26" x14ac:dyDescent="0.2">
      <c r="A413" t="s">
        <v>10</v>
      </c>
      <c r="B413" t="s">
        <v>18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O413" t="s">
        <v>14</v>
      </c>
      <c r="P413" t="s">
        <v>9</v>
      </c>
      <c r="R413">
        <v>0</v>
      </c>
      <c r="S413">
        <v>1</v>
      </c>
      <c r="T413">
        <v>4</v>
      </c>
      <c r="U413">
        <v>400</v>
      </c>
      <c r="V413">
        <v>1600</v>
      </c>
      <c r="W413">
        <v>1808</v>
      </c>
      <c r="X413">
        <v>51.46</v>
      </c>
      <c r="Y413" t="str">
        <f t="shared" si="6"/>
        <v>Door (General) Install</v>
      </c>
      <c r="Z413">
        <v>0</v>
      </c>
    </row>
    <row r="414" spans="1:26" x14ac:dyDescent="0.2">
      <c r="A414" t="s">
        <v>10</v>
      </c>
      <c r="B414" t="s">
        <v>74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1</v>
      </c>
      <c r="L414">
        <v>0</v>
      </c>
      <c r="O414" t="s">
        <v>14</v>
      </c>
      <c r="P414" t="s">
        <v>9</v>
      </c>
      <c r="R414">
        <v>0</v>
      </c>
      <c r="S414">
        <v>1</v>
      </c>
      <c r="T414">
        <v>2</v>
      </c>
      <c r="U414">
        <v>400</v>
      </c>
      <c r="V414">
        <v>800</v>
      </c>
      <c r="W414">
        <v>904</v>
      </c>
      <c r="X414">
        <v>51.62</v>
      </c>
      <c r="Y414" t="str">
        <f t="shared" si="6"/>
        <v>Door (General) Install</v>
      </c>
      <c r="Z414">
        <v>0</v>
      </c>
    </row>
    <row r="415" spans="1:26" x14ac:dyDescent="0.2">
      <c r="A415" t="s">
        <v>10</v>
      </c>
      <c r="B415" t="s">
        <v>28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O415" t="s">
        <v>14</v>
      </c>
      <c r="P415" t="s">
        <v>9</v>
      </c>
      <c r="R415">
        <v>0</v>
      </c>
      <c r="S415">
        <v>1</v>
      </c>
      <c r="T415">
        <v>6</v>
      </c>
      <c r="U415">
        <v>400</v>
      </c>
      <c r="V415">
        <v>2400</v>
      </c>
      <c r="W415">
        <v>2712</v>
      </c>
      <c r="X415">
        <v>67.23</v>
      </c>
      <c r="Y415" t="str">
        <f t="shared" si="6"/>
        <v>Door (General) Install</v>
      </c>
      <c r="Z415">
        <v>0</v>
      </c>
    </row>
    <row r="416" spans="1:26" x14ac:dyDescent="0.2">
      <c r="A416" t="s">
        <v>6</v>
      </c>
      <c r="B416" t="s">
        <v>57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O416" t="s">
        <v>14</v>
      </c>
      <c r="P416" t="s">
        <v>205</v>
      </c>
      <c r="Q416" t="s">
        <v>146</v>
      </c>
      <c r="R416">
        <v>0</v>
      </c>
      <c r="S416">
        <v>1</v>
      </c>
      <c r="T416">
        <v>10</v>
      </c>
      <c r="U416">
        <v>650</v>
      </c>
      <c r="V416">
        <v>6500</v>
      </c>
      <c r="W416">
        <v>7345</v>
      </c>
      <c r="X416">
        <v>68.83</v>
      </c>
      <c r="Y416" t="str">
        <f t="shared" si="6"/>
        <v>Fire Door Install</v>
      </c>
      <c r="Z416">
        <v>0</v>
      </c>
    </row>
    <row r="417" spans="1:26" x14ac:dyDescent="0.2">
      <c r="A417" t="s">
        <v>10</v>
      </c>
      <c r="B417" t="s">
        <v>93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0</v>
      </c>
      <c r="O417" t="s">
        <v>14</v>
      </c>
      <c r="P417" t="s">
        <v>9</v>
      </c>
      <c r="R417">
        <v>0</v>
      </c>
      <c r="S417">
        <v>1</v>
      </c>
      <c r="T417">
        <v>42</v>
      </c>
      <c r="U417">
        <v>400</v>
      </c>
      <c r="V417">
        <v>16800</v>
      </c>
      <c r="W417">
        <v>18984</v>
      </c>
      <c r="X417">
        <v>71.44</v>
      </c>
      <c r="Y417" t="str">
        <f t="shared" si="6"/>
        <v>Door (General) Install</v>
      </c>
      <c r="Z417">
        <v>0</v>
      </c>
    </row>
    <row r="418" spans="1:26" x14ac:dyDescent="0.2">
      <c r="A418" t="s">
        <v>10</v>
      </c>
      <c r="B418" t="s">
        <v>35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O418" t="s">
        <v>14</v>
      </c>
      <c r="P418" t="s">
        <v>9</v>
      </c>
      <c r="R418">
        <v>0</v>
      </c>
      <c r="S418">
        <v>1</v>
      </c>
      <c r="T418">
        <v>40</v>
      </c>
      <c r="U418">
        <v>16000</v>
      </c>
      <c r="V418">
        <v>16000</v>
      </c>
      <c r="W418">
        <v>18080</v>
      </c>
      <c r="X418">
        <v>78.599999999999994</v>
      </c>
      <c r="Y418" t="str">
        <f t="shared" si="6"/>
        <v>Door (General) Install</v>
      </c>
      <c r="Z418">
        <v>0</v>
      </c>
    </row>
    <row r="419" spans="1:26" x14ac:dyDescent="0.2">
      <c r="A419" t="s">
        <v>6</v>
      </c>
      <c r="B419" t="s">
        <v>30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O419" t="s">
        <v>14</v>
      </c>
      <c r="P419" t="s">
        <v>9</v>
      </c>
      <c r="R419">
        <v>0</v>
      </c>
      <c r="S419">
        <v>1</v>
      </c>
      <c r="T419">
        <v>3</v>
      </c>
      <c r="U419">
        <v>400</v>
      </c>
      <c r="V419">
        <v>1200</v>
      </c>
      <c r="W419">
        <v>1356</v>
      </c>
      <c r="X419">
        <v>91.99</v>
      </c>
      <c r="Y419" t="str">
        <f t="shared" si="6"/>
        <v>Door (General) Install</v>
      </c>
      <c r="Z419">
        <v>0</v>
      </c>
    </row>
    <row r="420" spans="1:26" x14ac:dyDescent="0.2">
      <c r="A420" t="s">
        <v>10</v>
      </c>
      <c r="B420" t="s">
        <v>56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O420" t="s">
        <v>14</v>
      </c>
      <c r="P420" t="s">
        <v>9</v>
      </c>
      <c r="R420">
        <v>0</v>
      </c>
      <c r="S420">
        <v>1</v>
      </c>
      <c r="T420">
        <v>5</v>
      </c>
      <c r="U420">
        <v>2000</v>
      </c>
      <c r="V420">
        <v>2000</v>
      </c>
      <c r="W420">
        <v>2260</v>
      </c>
      <c r="X420">
        <v>117.03</v>
      </c>
      <c r="Y420" t="str">
        <f t="shared" si="6"/>
        <v>Door (General) Install</v>
      </c>
      <c r="Z420">
        <v>1</v>
      </c>
    </row>
    <row r="421" spans="1:26" x14ac:dyDescent="0.2">
      <c r="A421" t="s">
        <v>10</v>
      </c>
      <c r="B421" t="s">
        <v>108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O421" t="s">
        <v>14</v>
      </c>
      <c r="P421" t="s">
        <v>9</v>
      </c>
      <c r="R421">
        <v>0</v>
      </c>
      <c r="S421">
        <v>1</v>
      </c>
      <c r="T421">
        <v>60</v>
      </c>
      <c r="U421">
        <v>400</v>
      </c>
      <c r="V421">
        <v>24000</v>
      </c>
      <c r="W421">
        <v>27120</v>
      </c>
      <c r="X421">
        <v>125.04</v>
      </c>
      <c r="Y421" t="str">
        <f t="shared" si="6"/>
        <v>Door (General) Install</v>
      </c>
      <c r="Z421">
        <v>1</v>
      </c>
    </row>
    <row r="422" spans="1:26" x14ac:dyDescent="0.2">
      <c r="A422" t="s">
        <v>10</v>
      </c>
      <c r="B422" t="s">
        <v>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O422" t="s">
        <v>14</v>
      </c>
      <c r="P422" t="s">
        <v>36</v>
      </c>
      <c r="R422">
        <v>0</v>
      </c>
      <c r="S422">
        <v>1</v>
      </c>
      <c r="T422">
        <v>4</v>
      </c>
      <c r="U422">
        <v>400</v>
      </c>
      <c r="V422">
        <v>1600</v>
      </c>
      <c r="W422">
        <v>1808</v>
      </c>
      <c r="X422">
        <v>156.01</v>
      </c>
      <c r="Y422" t="str">
        <f t="shared" si="6"/>
        <v>Traffic/Crash Door Install</v>
      </c>
      <c r="Z422">
        <v>1</v>
      </c>
    </row>
    <row r="423" spans="1:26" x14ac:dyDescent="0.2">
      <c r="A423" t="s">
        <v>10</v>
      </c>
      <c r="B423" t="s">
        <v>117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O423" t="s">
        <v>14</v>
      </c>
      <c r="P423" t="s">
        <v>9</v>
      </c>
      <c r="R423">
        <v>0</v>
      </c>
      <c r="S423">
        <v>1</v>
      </c>
      <c r="T423">
        <v>60</v>
      </c>
      <c r="U423">
        <v>400</v>
      </c>
      <c r="V423">
        <v>24000</v>
      </c>
      <c r="W423">
        <v>27120</v>
      </c>
      <c r="X423">
        <v>173.81</v>
      </c>
      <c r="Y423" t="str">
        <f t="shared" si="6"/>
        <v>Door (General) Install</v>
      </c>
      <c r="Z423">
        <v>1</v>
      </c>
    </row>
    <row r="424" spans="1:26" x14ac:dyDescent="0.2">
      <c r="A424" t="s">
        <v>10</v>
      </c>
      <c r="B424" t="s">
        <v>265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O424" t="s">
        <v>14</v>
      </c>
      <c r="P424" t="s">
        <v>9</v>
      </c>
      <c r="R424">
        <v>0</v>
      </c>
      <c r="S424">
        <v>1</v>
      </c>
      <c r="T424">
        <v>20</v>
      </c>
      <c r="U424">
        <v>400</v>
      </c>
      <c r="V424">
        <v>8000</v>
      </c>
      <c r="W424">
        <v>9040</v>
      </c>
      <c r="X424">
        <v>173.81</v>
      </c>
      <c r="Y424" t="str">
        <f t="shared" si="6"/>
        <v>Door (General) Install</v>
      </c>
      <c r="Z424">
        <v>1</v>
      </c>
    </row>
    <row r="425" spans="1:26" x14ac:dyDescent="0.2">
      <c r="A425" t="s">
        <v>10</v>
      </c>
      <c r="B425" t="s">
        <v>266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O425" t="s">
        <v>8</v>
      </c>
      <c r="P425" t="s">
        <v>25</v>
      </c>
      <c r="R425">
        <v>0</v>
      </c>
      <c r="S425">
        <v>0</v>
      </c>
      <c r="T425">
        <v>4</v>
      </c>
      <c r="U425">
        <v>1600</v>
      </c>
      <c r="V425">
        <v>1600</v>
      </c>
      <c r="W425">
        <v>1808</v>
      </c>
      <c r="X425">
        <v>310.83</v>
      </c>
      <c r="Z425">
        <v>3</v>
      </c>
    </row>
    <row r="426" spans="1:26" x14ac:dyDescent="0.2">
      <c r="A426" t="s">
        <v>10</v>
      </c>
      <c r="B426" t="s">
        <v>227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O426" t="s">
        <v>14</v>
      </c>
      <c r="P426" t="s">
        <v>9</v>
      </c>
      <c r="R426">
        <v>0</v>
      </c>
      <c r="S426">
        <v>1</v>
      </c>
      <c r="T426">
        <v>18</v>
      </c>
      <c r="U426">
        <v>7175</v>
      </c>
      <c r="V426">
        <v>7175</v>
      </c>
      <c r="W426">
        <v>8107.75</v>
      </c>
      <c r="X426">
        <v>55.65</v>
      </c>
      <c r="Y426" t="str">
        <f t="shared" si="6"/>
        <v>Door (General) Install</v>
      </c>
      <c r="Z426">
        <v>0</v>
      </c>
    </row>
    <row r="427" spans="1:26" x14ac:dyDescent="0.2">
      <c r="A427" t="s">
        <v>10</v>
      </c>
      <c r="B427" t="s">
        <v>227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O427" t="s">
        <v>14</v>
      </c>
      <c r="P427" t="s">
        <v>9</v>
      </c>
      <c r="R427">
        <v>0</v>
      </c>
      <c r="S427">
        <v>1</v>
      </c>
      <c r="T427">
        <v>22</v>
      </c>
      <c r="U427">
        <v>8675</v>
      </c>
      <c r="V427">
        <v>8675</v>
      </c>
      <c r="W427">
        <v>9802.75</v>
      </c>
      <c r="X427">
        <v>55.65</v>
      </c>
      <c r="Y427" t="str">
        <f t="shared" si="6"/>
        <v>Door (General) Install</v>
      </c>
      <c r="Z427">
        <v>0</v>
      </c>
    </row>
    <row r="428" spans="1:26" x14ac:dyDescent="0.2">
      <c r="A428" t="s">
        <v>6</v>
      </c>
      <c r="B428" t="s">
        <v>167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O428" t="s">
        <v>14</v>
      </c>
      <c r="P428" t="s">
        <v>9</v>
      </c>
      <c r="R428">
        <v>0</v>
      </c>
      <c r="S428">
        <v>1</v>
      </c>
      <c r="T428">
        <v>23</v>
      </c>
      <c r="U428">
        <v>8400</v>
      </c>
      <c r="V428">
        <v>8400</v>
      </c>
      <c r="W428">
        <v>9492</v>
      </c>
      <c r="X428">
        <v>163.07</v>
      </c>
      <c r="Y428" t="str">
        <f t="shared" si="6"/>
        <v>Door (General) Install</v>
      </c>
      <c r="Z428">
        <v>1</v>
      </c>
    </row>
    <row r="429" spans="1:26" x14ac:dyDescent="0.2">
      <c r="A429" t="s">
        <v>10</v>
      </c>
      <c r="B429" t="s">
        <v>264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0</v>
      </c>
      <c r="O429" t="s">
        <v>14</v>
      </c>
      <c r="P429" t="s">
        <v>9</v>
      </c>
      <c r="R429">
        <v>0</v>
      </c>
      <c r="S429">
        <v>1</v>
      </c>
      <c r="T429">
        <v>49</v>
      </c>
      <c r="U429">
        <v>17350</v>
      </c>
      <c r="V429">
        <v>17350</v>
      </c>
      <c r="W429">
        <v>19605.5</v>
      </c>
      <c r="X429">
        <v>17</v>
      </c>
      <c r="Y429" t="str">
        <f t="shared" si="6"/>
        <v>Door (General) Install</v>
      </c>
      <c r="Z429">
        <v>0</v>
      </c>
    </row>
    <row r="430" spans="1:26" x14ac:dyDescent="0.2">
      <c r="A430" t="s">
        <v>10</v>
      </c>
      <c r="B430" t="s">
        <v>47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O430" t="s">
        <v>14</v>
      </c>
      <c r="P430" t="s">
        <v>9</v>
      </c>
      <c r="R430">
        <v>0</v>
      </c>
      <c r="S430">
        <v>1</v>
      </c>
      <c r="T430">
        <v>25</v>
      </c>
      <c r="U430">
        <v>350</v>
      </c>
      <c r="V430">
        <v>8750</v>
      </c>
      <c r="W430">
        <v>9887.5</v>
      </c>
      <c r="X430">
        <v>27.56</v>
      </c>
      <c r="Y430" t="str">
        <f t="shared" si="6"/>
        <v>Door (General) Install</v>
      </c>
      <c r="Z430">
        <v>0</v>
      </c>
    </row>
    <row r="431" spans="1:26" x14ac:dyDescent="0.2">
      <c r="A431" t="s">
        <v>10</v>
      </c>
      <c r="B431" t="s">
        <v>63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O431" t="s">
        <v>17</v>
      </c>
      <c r="Q431" t="s">
        <v>12</v>
      </c>
      <c r="R431">
        <v>0</v>
      </c>
      <c r="S431">
        <v>0</v>
      </c>
      <c r="T431">
        <v>2</v>
      </c>
      <c r="U431">
        <v>350</v>
      </c>
      <c r="V431">
        <v>700</v>
      </c>
      <c r="W431">
        <v>791</v>
      </c>
      <c r="X431">
        <v>59.08</v>
      </c>
      <c r="Z431">
        <v>0</v>
      </c>
    </row>
    <row r="432" spans="1:26" x14ac:dyDescent="0.2">
      <c r="A432" t="s">
        <v>10</v>
      </c>
      <c r="B432" t="s">
        <v>57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O432" t="s">
        <v>14</v>
      </c>
      <c r="P432" t="s">
        <v>9</v>
      </c>
      <c r="R432">
        <v>0</v>
      </c>
      <c r="S432">
        <v>1</v>
      </c>
      <c r="T432">
        <v>21</v>
      </c>
      <c r="U432">
        <v>350</v>
      </c>
      <c r="V432">
        <v>7350</v>
      </c>
      <c r="W432">
        <v>8305.5</v>
      </c>
      <c r="X432">
        <v>110</v>
      </c>
      <c r="Y432" t="str">
        <f t="shared" si="6"/>
        <v>Door (General) Install</v>
      </c>
      <c r="Z432">
        <v>1</v>
      </c>
    </row>
    <row r="433" spans="1:26" x14ac:dyDescent="0.2">
      <c r="A433" t="s">
        <v>10</v>
      </c>
      <c r="B433" t="s">
        <v>48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O433" t="s">
        <v>14</v>
      </c>
      <c r="P433" t="s">
        <v>36</v>
      </c>
      <c r="R433">
        <v>0</v>
      </c>
      <c r="S433">
        <v>1</v>
      </c>
      <c r="T433">
        <v>4</v>
      </c>
      <c r="U433">
        <v>350</v>
      </c>
      <c r="V433">
        <v>1400</v>
      </c>
      <c r="W433">
        <v>1582</v>
      </c>
      <c r="X433">
        <v>116.78</v>
      </c>
      <c r="Y433" t="str">
        <f t="shared" si="6"/>
        <v>Traffic/Crash Door Install</v>
      </c>
      <c r="Z433">
        <v>1</v>
      </c>
    </row>
    <row r="434" spans="1:26" x14ac:dyDescent="0.2">
      <c r="A434" t="s">
        <v>10</v>
      </c>
      <c r="B434" t="s">
        <v>213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O434" t="s">
        <v>24</v>
      </c>
      <c r="P434" t="s">
        <v>9</v>
      </c>
      <c r="Q434" t="s">
        <v>12</v>
      </c>
      <c r="R434">
        <v>0</v>
      </c>
      <c r="S434">
        <v>0</v>
      </c>
      <c r="T434">
        <v>3</v>
      </c>
      <c r="U434">
        <v>1000</v>
      </c>
      <c r="V434">
        <v>1000</v>
      </c>
      <c r="W434">
        <v>1130</v>
      </c>
      <c r="X434">
        <v>203.06</v>
      </c>
      <c r="Z434">
        <v>2</v>
      </c>
    </row>
    <row r="435" spans="1:26" x14ac:dyDescent="0.2">
      <c r="A435" t="s">
        <v>42</v>
      </c>
      <c r="B435" t="s">
        <v>118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O435" t="s">
        <v>14</v>
      </c>
      <c r="P435" t="s">
        <v>61</v>
      </c>
      <c r="R435">
        <v>0</v>
      </c>
      <c r="S435">
        <v>1</v>
      </c>
      <c r="T435">
        <v>2</v>
      </c>
      <c r="U435">
        <v>320</v>
      </c>
      <c r="V435">
        <v>640</v>
      </c>
      <c r="W435">
        <v>723.2</v>
      </c>
      <c r="X435">
        <v>154.86000000000001</v>
      </c>
      <c r="Y435" t="str">
        <f t="shared" si="6"/>
        <v>Remote/Photo Eye Install</v>
      </c>
      <c r="Z435">
        <v>1</v>
      </c>
    </row>
    <row r="436" spans="1:26" x14ac:dyDescent="0.2">
      <c r="A436" t="s">
        <v>10</v>
      </c>
      <c r="B436" t="s">
        <v>16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O436" t="s">
        <v>17</v>
      </c>
      <c r="P436" t="s">
        <v>15</v>
      </c>
      <c r="R436">
        <v>0</v>
      </c>
      <c r="S436">
        <v>0</v>
      </c>
      <c r="T436">
        <v>1</v>
      </c>
      <c r="U436">
        <v>300</v>
      </c>
      <c r="V436">
        <v>300</v>
      </c>
      <c r="W436">
        <v>339</v>
      </c>
      <c r="X436">
        <v>8.98</v>
      </c>
      <c r="Z436">
        <v>0</v>
      </c>
    </row>
    <row r="437" spans="1:26" x14ac:dyDescent="0.2">
      <c r="A437" t="s">
        <v>10</v>
      </c>
      <c r="B437" t="s">
        <v>13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O437" t="s">
        <v>31</v>
      </c>
      <c r="P437" t="s">
        <v>15</v>
      </c>
      <c r="R437">
        <v>0</v>
      </c>
      <c r="S437">
        <v>0</v>
      </c>
      <c r="T437">
        <v>1</v>
      </c>
      <c r="U437">
        <v>300</v>
      </c>
      <c r="V437">
        <v>300</v>
      </c>
      <c r="W437">
        <v>339</v>
      </c>
      <c r="X437">
        <v>17.899999999999999</v>
      </c>
      <c r="Z437">
        <v>0</v>
      </c>
    </row>
    <row r="438" spans="1:26" x14ac:dyDescent="0.2">
      <c r="A438" t="s">
        <v>6</v>
      </c>
      <c r="B438" t="s">
        <v>174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O438" t="s">
        <v>14</v>
      </c>
      <c r="P438" t="s">
        <v>9</v>
      </c>
      <c r="Q438" t="s">
        <v>12</v>
      </c>
      <c r="R438">
        <v>0</v>
      </c>
      <c r="S438">
        <v>1</v>
      </c>
      <c r="T438">
        <v>9</v>
      </c>
      <c r="U438">
        <v>300</v>
      </c>
      <c r="V438">
        <v>2700</v>
      </c>
      <c r="W438">
        <v>3051</v>
      </c>
      <c r="X438">
        <v>46</v>
      </c>
      <c r="Y438" t="str">
        <f t="shared" si="6"/>
        <v>Door (General) Install</v>
      </c>
      <c r="Z438">
        <v>0</v>
      </c>
    </row>
    <row r="439" spans="1:26" x14ac:dyDescent="0.2">
      <c r="A439" t="s">
        <v>6</v>
      </c>
      <c r="B439" t="s">
        <v>47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O439" t="s">
        <v>88</v>
      </c>
      <c r="Q439" t="s">
        <v>221</v>
      </c>
      <c r="R439">
        <v>0</v>
      </c>
      <c r="S439">
        <v>0</v>
      </c>
      <c r="T439">
        <v>1</v>
      </c>
      <c r="U439">
        <v>300</v>
      </c>
      <c r="V439">
        <v>300</v>
      </c>
      <c r="W439">
        <v>339</v>
      </c>
      <c r="X439">
        <v>110.28</v>
      </c>
      <c r="Z439">
        <v>1</v>
      </c>
    </row>
    <row r="440" spans="1:26" x14ac:dyDescent="0.2">
      <c r="A440" t="s">
        <v>42</v>
      </c>
      <c r="B440" t="s">
        <v>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O440" t="s">
        <v>15</v>
      </c>
      <c r="P440" t="s">
        <v>61</v>
      </c>
      <c r="R440">
        <v>0</v>
      </c>
      <c r="S440">
        <v>0</v>
      </c>
      <c r="T440">
        <v>1</v>
      </c>
      <c r="U440">
        <v>255</v>
      </c>
      <c r="V440">
        <v>255</v>
      </c>
      <c r="W440">
        <v>288.14999999999998</v>
      </c>
      <c r="X440">
        <v>281.95999999999998</v>
      </c>
      <c r="Z440">
        <v>2</v>
      </c>
    </row>
    <row r="441" spans="1:26" x14ac:dyDescent="0.2">
      <c r="A441" t="s">
        <v>10</v>
      </c>
      <c r="B441" t="s">
        <v>48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O441" t="s">
        <v>23</v>
      </c>
      <c r="P441" t="s">
        <v>9</v>
      </c>
      <c r="R441">
        <v>0</v>
      </c>
      <c r="S441">
        <v>0</v>
      </c>
      <c r="T441">
        <v>3</v>
      </c>
      <c r="U441">
        <v>250</v>
      </c>
      <c r="V441">
        <v>750</v>
      </c>
      <c r="W441">
        <v>847.5</v>
      </c>
      <c r="X441">
        <v>44.47</v>
      </c>
      <c r="Z441">
        <v>0</v>
      </c>
    </row>
    <row r="442" spans="1:26" x14ac:dyDescent="0.2">
      <c r="A442" t="s">
        <v>6</v>
      </c>
      <c r="B442" t="s">
        <v>259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O442" t="s">
        <v>8</v>
      </c>
      <c r="P442" t="s">
        <v>9</v>
      </c>
      <c r="R442">
        <v>0</v>
      </c>
      <c r="S442">
        <v>0</v>
      </c>
      <c r="T442">
        <v>3</v>
      </c>
      <c r="U442">
        <v>200</v>
      </c>
      <c r="V442">
        <v>600</v>
      </c>
      <c r="W442">
        <v>678</v>
      </c>
      <c r="X442">
        <v>20.55</v>
      </c>
      <c r="Z442">
        <v>0</v>
      </c>
    </row>
    <row r="443" spans="1:26" x14ac:dyDescent="0.2">
      <c r="A443" t="s">
        <v>42</v>
      </c>
      <c r="B443" t="s">
        <v>202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O443" t="s">
        <v>14</v>
      </c>
      <c r="P443" t="s">
        <v>9</v>
      </c>
      <c r="Q443" t="s">
        <v>12</v>
      </c>
      <c r="R443">
        <v>0</v>
      </c>
      <c r="S443">
        <v>1</v>
      </c>
      <c r="T443">
        <v>10</v>
      </c>
      <c r="U443">
        <v>200</v>
      </c>
      <c r="V443">
        <v>2000</v>
      </c>
      <c r="W443">
        <v>2260</v>
      </c>
      <c r="X443">
        <v>34.42</v>
      </c>
      <c r="Y443" t="str">
        <f t="shared" si="6"/>
        <v>Door (General) Install</v>
      </c>
      <c r="Z443">
        <v>0</v>
      </c>
    </row>
    <row r="444" spans="1:26" x14ac:dyDescent="0.2">
      <c r="A444" t="s">
        <v>42</v>
      </c>
      <c r="B444" t="s">
        <v>170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O444" t="s">
        <v>15</v>
      </c>
      <c r="P444" t="s">
        <v>9</v>
      </c>
      <c r="R444">
        <v>0</v>
      </c>
      <c r="S444">
        <v>0</v>
      </c>
      <c r="T444">
        <v>1</v>
      </c>
      <c r="U444">
        <v>200</v>
      </c>
      <c r="V444">
        <v>200</v>
      </c>
      <c r="W444">
        <v>226</v>
      </c>
      <c r="X444">
        <v>47.07</v>
      </c>
      <c r="Z444">
        <v>0</v>
      </c>
    </row>
    <row r="445" spans="1:26" x14ac:dyDescent="0.2">
      <c r="A445" t="s">
        <v>6</v>
      </c>
      <c r="B445" t="s">
        <v>232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O445" t="s">
        <v>31</v>
      </c>
      <c r="P445" t="s">
        <v>9</v>
      </c>
      <c r="R445">
        <v>0</v>
      </c>
      <c r="S445">
        <v>0</v>
      </c>
      <c r="T445">
        <v>1</v>
      </c>
      <c r="U445">
        <v>200</v>
      </c>
      <c r="V445">
        <v>200</v>
      </c>
      <c r="W445">
        <v>226</v>
      </c>
      <c r="X445">
        <v>54.2</v>
      </c>
      <c r="Z445">
        <v>0</v>
      </c>
    </row>
    <row r="446" spans="1:26" x14ac:dyDescent="0.2">
      <c r="A446" t="s">
        <v>10</v>
      </c>
      <c r="B446" t="s">
        <v>83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O446" t="s">
        <v>31</v>
      </c>
      <c r="P446" t="s">
        <v>9</v>
      </c>
      <c r="R446">
        <v>0</v>
      </c>
      <c r="S446">
        <v>0</v>
      </c>
      <c r="T446">
        <v>1</v>
      </c>
      <c r="U446">
        <v>200</v>
      </c>
      <c r="V446">
        <v>200</v>
      </c>
      <c r="W446">
        <v>226</v>
      </c>
      <c r="X446">
        <v>173.81</v>
      </c>
      <c r="Z446">
        <v>1</v>
      </c>
    </row>
    <row r="447" spans="1:26" x14ac:dyDescent="0.2">
      <c r="A447" t="s">
        <v>6</v>
      </c>
      <c r="B447" t="s">
        <v>28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O447" t="s">
        <v>14</v>
      </c>
      <c r="P447" t="s">
        <v>9</v>
      </c>
      <c r="Q447" t="s">
        <v>12</v>
      </c>
      <c r="R447">
        <v>0</v>
      </c>
      <c r="S447">
        <v>1</v>
      </c>
      <c r="T447">
        <v>5</v>
      </c>
      <c r="U447">
        <v>180</v>
      </c>
      <c r="V447">
        <v>900</v>
      </c>
      <c r="W447">
        <v>1017</v>
      </c>
      <c r="X447">
        <v>17.579999999999998</v>
      </c>
      <c r="Y447" t="str">
        <f t="shared" si="6"/>
        <v>Door (General) Install</v>
      </c>
      <c r="Z447">
        <v>0</v>
      </c>
    </row>
    <row r="448" spans="1:26" x14ac:dyDescent="0.2">
      <c r="A448" t="s">
        <v>6</v>
      </c>
      <c r="B448" t="s">
        <v>29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O448" t="s">
        <v>24</v>
      </c>
      <c r="P448" t="s">
        <v>9</v>
      </c>
      <c r="R448">
        <v>0</v>
      </c>
      <c r="S448">
        <v>0</v>
      </c>
      <c r="T448">
        <v>11</v>
      </c>
      <c r="U448">
        <v>1800</v>
      </c>
      <c r="V448">
        <v>1800</v>
      </c>
      <c r="W448">
        <v>2034</v>
      </c>
      <c r="X448">
        <v>34.03</v>
      </c>
      <c r="Z448">
        <v>0</v>
      </c>
    </row>
    <row r="449" spans="1:26" x14ac:dyDescent="0.2">
      <c r="A449" t="s">
        <v>10</v>
      </c>
      <c r="B449" t="s">
        <v>93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0</v>
      </c>
      <c r="O449" t="s">
        <v>14</v>
      </c>
      <c r="P449" t="s">
        <v>9</v>
      </c>
      <c r="Q449" t="s">
        <v>12</v>
      </c>
      <c r="R449">
        <v>0</v>
      </c>
      <c r="S449">
        <v>1</v>
      </c>
      <c r="T449">
        <v>102</v>
      </c>
      <c r="U449">
        <v>150</v>
      </c>
      <c r="V449">
        <v>15300</v>
      </c>
      <c r="W449">
        <v>17289</v>
      </c>
      <c r="X449">
        <v>71.44</v>
      </c>
      <c r="Y449" t="str">
        <f t="shared" si="6"/>
        <v>Door (General) Install</v>
      </c>
      <c r="Z449">
        <v>0</v>
      </c>
    </row>
    <row r="450" spans="1:26" x14ac:dyDescent="0.2">
      <c r="A450" t="s">
        <v>10</v>
      </c>
      <c r="B450" t="s">
        <v>53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  <c r="O450" t="s">
        <v>14</v>
      </c>
      <c r="P450" t="s">
        <v>9</v>
      </c>
      <c r="R450">
        <v>0</v>
      </c>
      <c r="S450">
        <v>1</v>
      </c>
      <c r="T450">
        <v>1</v>
      </c>
      <c r="U450">
        <v>150</v>
      </c>
      <c r="V450">
        <v>150</v>
      </c>
      <c r="W450">
        <v>169.5</v>
      </c>
      <c r="X450">
        <v>122.89</v>
      </c>
      <c r="Y450" t="str">
        <f t="shared" ref="Y450:Y513" si="7">_xlfn.CONCAT($P450&amp;" "&amp;$O450)</f>
        <v>Door (General) Install</v>
      </c>
      <c r="Z450">
        <v>1</v>
      </c>
    </row>
    <row r="451" spans="1:26" x14ac:dyDescent="0.2">
      <c r="A451" t="s">
        <v>42</v>
      </c>
      <c r="B451" t="s">
        <v>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O451" t="s">
        <v>14</v>
      </c>
      <c r="P451" t="s">
        <v>61</v>
      </c>
      <c r="R451">
        <v>0</v>
      </c>
      <c r="S451">
        <v>1</v>
      </c>
      <c r="T451">
        <v>2</v>
      </c>
      <c r="U451">
        <v>295</v>
      </c>
      <c r="V451">
        <v>295</v>
      </c>
      <c r="W451">
        <v>333.35</v>
      </c>
      <c r="X451">
        <v>305.97000000000003</v>
      </c>
      <c r="Y451" t="str">
        <f t="shared" si="7"/>
        <v>Remote/Photo Eye Install</v>
      </c>
      <c r="Z451">
        <v>3</v>
      </c>
    </row>
    <row r="452" spans="1:26" x14ac:dyDescent="0.2">
      <c r="A452" t="s">
        <v>42</v>
      </c>
      <c r="B452" t="s">
        <v>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O452" t="s">
        <v>14</v>
      </c>
      <c r="P452" t="s">
        <v>61</v>
      </c>
      <c r="R452">
        <v>0</v>
      </c>
      <c r="S452">
        <v>1</v>
      </c>
      <c r="T452">
        <v>2</v>
      </c>
      <c r="U452">
        <v>295</v>
      </c>
      <c r="V452">
        <v>295</v>
      </c>
      <c r="W452">
        <v>333.35</v>
      </c>
      <c r="X452">
        <v>305.97000000000003</v>
      </c>
      <c r="Y452" t="str">
        <f t="shared" si="7"/>
        <v>Remote/Photo Eye Install</v>
      </c>
      <c r="Z452">
        <v>3</v>
      </c>
    </row>
    <row r="453" spans="1:26" x14ac:dyDescent="0.2">
      <c r="A453" t="s">
        <v>42</v>
      </c>
      <c r="B453" t="s">
        <v>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O453" t="s">
        <v>14</v>
      </c>
      <c r="P453" t="s">
        <v>61</v>
      </c>
      <c r="R453">
        <v>0</v>
      </c>
      <c r="S453">
        <v>1</v>
      </c>
      <c r="T453">
        <v>2</v>
      </c>
      <c r="U453">
        <v>295</v>
      </c>
      <c r="V453">
        <v>295</v>
      </c>
      <c r="W453">
        <v>333.35</v>
      </c>
      <c r="X453">
        <v>305.97000000000003</v>
      </c>
      <c r="Y453" t="str">
        <f t="shared" si="7"/>
        <v>Remote/Photo Eye Install</v>
      </c>
      <c r="Z453">
        <v>3</v>
      </c>
    </row>
    <row r="454" spans="1:26" x14ac:dyDescent="0.2">
      <c r="A454" t="s">
        <v>42</v>
      </c>
      <c r="B454" t="s">
        <v>228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O454" t="s">
        <v>14</v>
      </c>
      <c r="P454" t="s">
        <v>61</v>
      </c>
      <c r="R454">
        <v>0</v>
      </c>
      <c r="S454">
        <v>1</v>
      </c>
      <c r="T454">
        <v>1</v>
      </c>
      <c r="U454">
        <v>140</v>
      </c>
      <c r="V454">
        <v>140</v>
      </c>
      <c r="W454">
        <v>158.19999999999999</v>
      </c>
      <c r="X454">
        <v>90</v>
      </c>
      <c r="Y454" t="str">
        <f t="shared" si="7"/>
        <v>Remote/Photo Eye Install</v>
      </c>
      <c r="Z454">
        <v>0</v>
      </c>
    </row>
    <row r="455" spans="1:26" x14ac:dyDescent="0.2">
      <c r="A455" t="s">
        <v>6</v>
      </c>
      <c r="B455" t="s">
        <v>241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O455" t="s">
        <v>17</v>
      </c>
      <c r="P455" t="s">
        <v>9</v>
      </c>
      <c r="R455">
        <v>0</v>
      </c>
      <c r="S455">
        <v>0</v>
      </c>
      <c r="T455">
        <v>5</v>
      </c>
      <c r="U455">
        <v>120</v>
      </c>
      <c r="V455">
        <v>600</v>
      </c>
      <c r="W455">
        <v>678</v>
      </c>
      <c r="X455">
        <v>64</v>
      </c>
      <c r="Z455">
        <v>0</v>
      </c>
    </row>
    <row r="456" spans="1:26" x14ac:dyDescent="0.2">
      <c r="A456" t="s">
        <v>42</v>
      </c>
      <c r="B456" t="s">
        <v>200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O456" t="s">
        <v>14</v>
      </c>
      <c r="P456" t="s">
        <v>61</v>
      </c>
      <c r="R456">
        <v>0</v>
      </c>
      <c r="S456">
        <v>1</v>
      </c>
      <c r="T456">
        <v>1</v>
      </c>
      <c r="U456">
        <v>108</v>
      </c>
      <c r="V456">
        <v>108</v>
      </c>
      <c r="W456">
        <v>122.04</v>
      </c>
      <c r="X456">
        <v>55.09</v>
      </c>
      <c r="Y456" t="str">
        <f t="shared" si="7"/>
        <v>Remote/Photo Eye Install</v>
      </c>
      <c r="Z456">
        <v>0</v>
      </c>
    </row>
    <row r="457" spans="1:26" x14ac:dyDescent="0.2">
      <c r="A457" t="s">
        <v>6</v>
      </c>
      <c r="B457" t="s">
        <v>71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O457" t="s">
        <v>23</v>
      </c>
      <c r="P457" t="s">
        <v>9</v>
      </c>
      <c r="R457">
        <v>0</v>
      </c>
      <c r="S457">
        <v>0</v>
      </c>
      <c r="T457">
        <v>6</v>
      </c>
      <c r="U457">
        <v>100</v>
      </c>
      <c r="V457">
        <v>600</v>
      </c>
      <c r="W457">
        <v>678</v>
      </c>
      <c r="X457">
        <v>49.68</v>
      </c>
      <c r="Z457">
        <v>0</v>
      </c>
    </row>
    <row r="458" spans="1:26" x14ac:dyDescent="0.2">
      <c r="A458" t="s">
        <v>6</v>
      </c>
      <c r="B458" t="s">
        <v>76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O458" t="s">
        <v>24</v>
      </c>
      <c r="P458" t="s">
        <v>9</v>
      </c>
      <c r="R458">
        <v>0</v>
      </c>
      <c r="S458">
        <v>0</v>
      </c>
      <c r="T458">
        <v>6.5</v>
      </c>
      <c r="U458">
        <v>100</v>
      </c>
      <c r="V458">
        <v>650</v>
      </c>
      <c r="W458">
        <v>734.5</v>
      </c>
      <c r="X458">
        <v>50.78</v>
      </c>
      <c r="Z458">
        <v>0</v>
      </c>
    </row>
    <row r="459" spans="1:26" x14ac:dyDescent="0.2">
      <c r="A459" t="s">
        <v>10</v>
      </c>
      <c r="B459" t="s">
        <v>20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O459" t="s">
        <v>31</v>
      </c>
      <c r="P459" t="s">
        <v>15</v>
      </c>
      <c r="R459">
        <v>0</v>
      </c>
      <c r="S459">
        <v>0</v>
      </c>
      <c r="T459">
        <v>3.5</v>
      </c>
      <c r="U459">
        <v>100</v>
      </c>
      <c r="V459">
        <v>350</v>
      </c>
      <c r="W459">
        <v>395.5</v>
      </c>
      <c r="X459">
        <v>52</v>
      </c>
      <c r="Z459">
        <v>0</v>
      </c>
    </row>
    <row r="460" spans="1:26" x14ac:dyDescent="0.2">
      <c r="A460" t="s">
        <v>10</v>
      </c>
      <c r="B460" t="s">
        <v>267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O460" t="s">
        <v>14</v>
      </c>
      <c r="P460" t="s">
        <v>9</v>
      </c>
      <c r="R460">
        <v>0</v>
      </c>
      <c r="S460">
        <v>1</v>
      </c>
      <c r="T460">
        <v>2.5</v>
      </c>
      <c r="U460">
        <v>100</v>
      </c>
      <c r="V460">
        <v>250</v>
      </c>
      <c r="W460">
        <v>282.5</v>
      </c>
      <c r="X460">
        <v>54.77</v>
      </c>
      <c r="Y460" t="str">
        <f t="shared" si="7"/>
        <v>Door (General) Install</v>
      </c>
      <c r="Z460">
        <v>0</v>
      </c>
    </row>
    <row r="461" spans="1:26" x14ac:dyDescent="0.2">
      <c r="A461" t="s">
        <v>10</v>
      </c>
      <c r="B461" t="s">
        <v>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O461" t="s">
        <v>14</v>
      </c>
      <c r="P461" t="s">
        <v>9</v>
      </c>
      <c r="R461">
        <v>0</v>
      </c>
      <c r="S461">
        <v>1</v>
      </c>
      <c r="T461">
        <v>8</v>
      </c>
      <c r="U461">
        <v>100</v>
      </c>
      <c r="V461">
        <v>800</v>
      </c>
      <c r="W461">
        <v>904</v>
      </c>
      <c r="X461">
        <v>103.55</v>
      </c>
      <c r="Y461" t="str">
        <f t="shared" si="7"/>
        <v>Door (General) Install</v>
      </c>
      <c r="Z461">
        <v>1</v>
      </c>
    </row>
    <row r="462" spans="1:26" x14ac:dyDescent="0.2">
      <c r="A462" t="s">
        <v>6</v>
      </c>
      <c r="B462" t="s">
        <v>11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O462" t="s">
        <v>88</v>
      </c>
      <c r="Q462" t="s">
        <v>221</v>
      </c>
      <c r="R462">
        <v>0</v>
      </c>
      <c r="S462">
        <v>0</v>
      </c>
      <c r="T462">
        <v>2</v>
      </c>
      <c r="U462">
        <v>100</v>
      </c>
      <c r="V462">
        <v>200</v>
      </c>
      <c r="W462">
        <v>226</v>
      </c>
      <c r="X462">
        <v>107.54</v>
      </c>
      <c r="Z462">
        <v>1</v>
      </c>
    </row>
    <row r="463" spans="1:26" x14ac:dyDescent="0.2">
      <c r="A463" t="s">
        <v>42</v>
      </c>
      <c r="B463" t="s">
        <v>20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O463" t="s">
        <v>15</v>
      </c>
      <c r="P463" t="s">
        <v>15</v>
      </c>
      <c r="R463">
        <v>0</v>
      </c>
      <c r="S463">
        <v>0</v>
      </c>
      <c r="T463">
        <v>1</v>
      </c>
      <c r="U463">
        <v>100</v>
      </c>
      <c r="V463">
        <v>100</v>
      </c>
      <c r="W463">
        <v>113</v>
      </c>
      <c r="X463">
        <v>108</v>
      </c>
      <c r="Z463">
        <v>1</v>
      </c>
    </row>
    <row r="464" spans="1:26" x14ac:dyDescent="0.2">
      <c r="A464" t="s">
        <v>10</v>
      </c>
      <c r="B464" t="s">
        <v>101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O464" t="s">
        <v>31</v>
      </c>
      <c r="P464" t="s">
        <v>9</v>
      </c>
      <c r="R464">
        <v>0</v>
      </c>
      <c r="S464">
        <v>0</v>
      </c>
      <c r="T464">
        <v>3</v>
      </c>
      <c r="U464">
        <v>100</v>
      </c>
      <c r="V464">
        <v>300</v>
      </c>
      <c r="W464">
        <v>339</v>
      </c>
      <c r="X464">
        <v>112.26</v>
      </c>
      <c r="Z464">
        <v>1</v>
      </c>
    </row>
    <row r="465" spans="1:26" x14ac:dyDescent="0.2">
      <c r="A465" t="s">
        <v>10</v>
      </c>
      <c r="B465" t="s">
        <v>172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O465" t="s">
        <v>104</v>
      </c>
      <c r="Q465" t="s">
        <v>221</v>
      </c>
      <c r="R465">
        <v>0</v>
      </c>
      <c r="S465">
        <v>0</v>
      </c>
      <c r="T465">
        <v>6.75</v>
      </c>
      <c r="U465">
        <v>100</v>
      </c>
      <c r="V465">
        <v>675</v>
      </c>
      <c r="W465">
        <v>762.75</v>
      </c>
      <c r="X465">
        <v>116.78</v>
      </c>
      <c r="Z465">
        <v>1</v>
      </c>
    </row>
    <row r="466" spans="1:26" x14ac:dyDescent="0.2">
      <c r="A466" t="s">
        <v>10</v>
      </c>
      <c r="B466" t="s">
        <v>59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O466" t="s">
        <v>31</v>
      </c>
      <c r="P466" t="s">
        <v>9</v>
      </c>
      <c r="R466">
        <v>0</v>
      </c>
      <c r="S466">
        <v>0</v>
      </c>
      <c r="T466">
        <v>7</v>
      </c>
      <c r="U466">
        <v>100</v>
      </c>
      <c r="V466">
        <v>700</v>
      </c>
      <c r="W466">
        <v>791</v>
      </c>
      <c r="X466">
        <v>116.78</v>
      </c>
      <c r="Z466">
        <v>1</v>
      </c>
    </row>
    <row r="467" spans="1:26" x14ac:dyDescent="0.2">
      <c r="A467" t="s">
        <v>10</v>
      </c>
      <c r="B467" t="s">
        <v>20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O467" t="s">
        <v>31</v>
      </c>
      <c r="P467" t="s">
        <v>15</v>
      </c>
      <c r="R467">
        <v>0</v>
      </c>
      <c r="S467">
        <v>0</v>
      </c>
      <c r="T467">
        <v>6</v>
      </c>
      <c r="U467">
        <v>100</v>
      </c>
      <c r="V467">
        <v>600</v>
      </c>
      <c r="W467">
        <v>678</v>
      </c>
      <c r="X467">
        <v>145.54</v>
      </c>
      <c r="Z467">
        <v>1</v>
      </c>
    </row>
    <row r="468" spans="1:26" x14ac:dyDescent="0.2">
      <c r="A468" t="s">
        <v>10</v>
      </c>
      <c r="B468" t="s">
        <v>116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O468" t="s">
        <v>14</v>
      </c>
      <c r="P468" t="s">
        <v>9</v>
      </c>
      <c r="R468">
        <v>0</v>
      </c>
      <c r="S468">
        <v>1</v>
      </c>
      <c r="T468">
        <v>13.5</v>
      </c>
      <c r="U468">
        <v>100</v>
      </c>
      <c r="V468">
        <v>1350</v>
      </c>
      <c r="W468">
        <v>1525.5</v>
      </c>
      <c r="X468">
        <v>147.13</v>
      </c>
      <c r="Y468" t="str">
        <f t="shared" si="7"/>
        <v>Door (General) Install</v>
      </c>
      <c r="Z468">
        <v>1</v>
      </c>
    </row>
    <row r="469" spans="1:26" x14ac:dyDescent="0.2">
      <c r="A469" t="s">
        <v>10</v>
      </c>
      <c r="B469" t="s">
        <v>107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0</v>
      </c>
      <c r="O469" t="s">
        <v>14</v>
      </c>
      <c r="P469" t="s">
        <v>9</v>
      </c>
      <c r="R469">
        <v>0</v>
      </c>
      <c r="S469">
        <v>1</v>
      </c>
      <c r="T469">
        <v>7</v>
      </c>
      <c r="U469">
        <v>100</v>
      </c>
      <c r="V469">
        <v>700</v>
      </c>
      <c r="W469">
        <v>791</v>
      </c>
      <c r="X469">
        <v>173.81</v>
      </c>
      <c r="Y469" t="str">
        <f t="shared" si="7"/>
        <v>Door (General) Install</v>
      </c>
      <c r="Z469">
        <v>1</v>
      </c>
    </row>
    <row r="470" spans="1:26" x14ac:dyDescent="0.2">
      <c r="A470" t="s">
        <v>10</v>
      </c>
      <c r="B470" t="s">
        <v>268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O470" t="s">
        <v>14</v>
      </c>
      <c r="P470" t="s">
        <v>9</v>
      </c>
      <c r="R470">
        <v>0</v>
      </c>
      <c r="S470">
        <v>1</v>
      </c>
      <c r="T470">
        <v>2.5</v>
      </c>
      <c r="U470">
        <v>100</v>
      </c>
      <c r="V470">
        <v>250</v>
      </c>
      <c r="W470">
        <v>282.5</v>
      </c>
      <c r="X470">
        <v>219.08</v>
      </c>
      <c r="Y470" t="str">
        <f t="shared" si="7"/>
        <v>Door (General) Install</v>
      </c>
      <c r="Z470">
        <v>2</v>
      </c>
    </row>
    <row r="471" spans="1:26" x14ac:dyDescent="0.2">
      <c r="A471" t="s">
        <v>42</v>
      </c>
      <c r="B471" t="s">
        <v>20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O471" t="s">
        <v>15</v>
      </c>
      <c r="P471" t="s">
        <v>15</v>
      </c>
      <c r="R471">
        <v>0</v>
      </c>
      <c r="S471">
        <v>0</v>
      </c>
      <c r="T471">
        <v>1</v>
      </c>
      <c r="U471">
        <v>100</v>
      </c>
      <c r="V471">
        <v>100</v>
      </c>
      <c r="W471">
        <v>113</v>
      </c>
      <c r="X471">
        <v>313.04000000000002</v>
      </c>
      <c r="Z471">
        <v>3</v>
      </c>
    </row>
    <row r="472" spans="1:26" x14ac:dyDescent="0.2">
      <c r="A472" t="s">
        <v>10</v>
      </c>
      <c r="B472" t="s">
        <v>230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O472" t="s">
        <v>15</v>
      </c>
      <c r="P472" t="s">
        <v>15</v>
      </c>
      <c r="R472">
        <v>0</v>
      </c>
      <c r="S472">
        <v>0</v>
      </c>
      <c r="T472">
        <v>5</v>
      </c>
      <c r="U472">
        <v>100</v>
      </c>
      <c r="V472">
        <v>500</v>
      </c>
      <c r="W472">
        <v>565</v>
      </c>
      <c r="X472">
        <v>558.22</v>
      </c>
      <c r="Z472">
        <v>5</v>
      </c>
    </row>
    <row r="473" spans="1:26" x14ac:dyDescent="0.2">
      <c r="A473" t="s">
        <v>42</v>
      </c>
      <c r="B473" t="s">
        <v>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O473" t="s">
        <v>49</v>
      </c>
      <c r="P473" t="s">
        <v>9</v>
      </c>
      <c r="R473">
        <v>0</v>
      </c>
      <c r="S473">
        <v>0</v>
      </c>
      <c r="T473">
        <v>1</v>
      </c>
      <c r="U473">
        <v>80</v>
      </c>
      <c r="V473">
        <v>80</v>
      </c>
      <c r="W473">
        <v>90.4</v>
      </c>
      <c r="X473">
        <v>211.68</v>
      </c>
      <c r="Z473">
        <v>2</v>
      </c>
    </row>
    <row r="474" spans="1:26" x14ac:dyDescent="0.2">
      <c r="A474" t="s">
        <v>42</v>
      </c>
      <c r="B474" t="s">
        <v>89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O474" t="s">
        <v>49</v>
      </c>
      <c r="P474" t="s">
        <v>61</v>
      </c>
      <c r="R474">
        <v>0</v>
      </c>
      <c r="S474">
        <v>0</v>
      </c>
      <c r="T474">
        <v>1</v>
      </c>
      <c r="U474">
        <v>60</v>
      </c>
      <c r="V474">
        <v>60</v>
      </c>
      <c r="W474">
        <v>67.8</v>
      </c>
      <c r="X474">
        <v>286.95</v>
      </c>
      <c r="Z474">
        <v>2</v>
      </c>
    </row>
    <row r="475" spans="1:26" x14ac:dyDescent="0.2">
      <c r="A475" t="s">
        <v>6</v>
      </c>
      <c r="B475" t="s">
        <v>71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O475" t="s">
        <v>38</v>
      </c>
      <c r="P475" t="s">
        <v>61</v>
      </c>
      <c r="R475">
        <v>0</v>
      </c>
      <c r="S475">
        <v>0</v>
      </c>
      <c r="T475">
        <v>3</v>
      </c>
      <c r="U475">
        <v>55</v>
      </c>
      <c r="V475">
        <v>165</v>
      </c>
      <c r="W475">
        <v>186.45</v>
      </c>
      <c r="X475">
        <v>49.68</v>
      </c>
      <c r="Z475">
        <v>0</v>
      </c>
    </row>
    <row r="476" spans="1:26" x14ac:dyDescent="0.2">
      <c r="A476" t="s">
        <v>6</v>
      </c>
      <c r="B476" t="s">
        <v>72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O476" t="s">
        <v>38</v>
      </c>
      <c r="P476" t="s">
        <v>61</v>
      </c>
      <c r="R476">
        <v>0</v>
      </c>
      <c r="S476">
        <v>0</v>
      </c>
      <c r="T476">
        <v>1</v>
      </c>
      <c r="U476">
        <v>55</v>
      </c>
      <c r="V476">
        <v>55</v>
      </c>
      <c r="W476">
        <v>62.15</v>
      </c>
      <c r="X476">
        <v>50.31</v>
      </c>
      <c r="Z476">
        <v>0</v>
      </c>
    </row>
    <row r="477" spans="1:26" x14ac:dyDescent="0.2">
      <c r="A477" t="s">
        <v>10</v>
      </c>
      <c r="B477" t="s">
        <v>247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O477" t="s">
        <v>14</v>
      </c>
      <c r="P477" t="s">
        <v>9</v>
      </c>
      <c r="R477">
        <v>0</v>
      </c>
      <c r="S477">
        <v>1</v>
      </c>
      <c r="T477">
        <v>1</v>
      </c>
      <c r="U477">
        <v>55</v>
      </c>
      <c r="V477">
        <v>55</v>
      </c>
      <c r="W477">
        <v>62.15</v>
      </c>
      <c r="X477">
        <v>102</v>
      </c>
      <c r="Y477" t="str">
        <f t="shared" si="7"/>
        <v>Door (General) Install</v>
      </c>
      <c r="Z477">
        <v>1</v>
      </c>
    </row>
    <row r="478" spans="1:26" x14ac:dyDescent="0.2">
      <c r="A478" t="s">
        <v>10</v>
      </c>
      <c r="B478" t="s">
        <v>57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0</v>
      </c>
      <c r="O478" t="s">
        <v>14</v>
      </c>
      <c r="P478" t="s">
        <v>9</v>
      </c>
      <c r="R478">
        <v>0</v>
      </c>
      <c r="S478">
        <v>1</v>
      </c>
      <c r="T478">
        <v>1</v>
      </c>
      <c r="U478">
        <v>50</v>
      </c>
      <c r="V478">
        <v>1150</v>
      </c>
      <c r="W478">
        <v>1299.5</v>
      </c>
      <c r="X478">
        <v>110</v>
      </c>
      <c r="Y478" t="str">
        <f t="shared" si="7"/>
        <v>Door (General) Install</v>
      </c>
      <c r="Z478">
        <v>1</v>
      </c>
    </row>
    <row r="479" spans="1:26" x14ac:dyDescent="0.2">
      <c r="A479" t="s">
        <v>10</v>
      </c>
      <c r="B479" t="s">
        <v>117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O479" t="s">
        <v>14</v>
      </c>
      <c r="P479" t="s">
        <v>15</v>
      </c>
      <c r="R479">
        <v>0</v>
      </c>
      <c r="S479">
        <v>1</v>
      </c>
      <c r="T479">
        <v>60</v>
      </c>
      <c r="U479">
        <v>50</v>
      </c>
      <c r="V479">
        <v>3000</v>
      </c>
      <c r="W479">
        <v>3390</v>
      </c>
      <c r="X479">
        <v>148.78</v>
      </c>
      <c r="Y479" t="str">
        <f t="shared" si="7"/>
        <v>Other/Misc Install</v>
      </c>
      <c r="Z479">
        <v>1</v>
      </c>
    </row>
    <row r="480" spans="1:26" x14ac:dyDescent="0.2">
      <c r="A480" t="s">
        <v>42</v>
      </c>
      <c r="B480" t="s">
        <v>60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O480" t="s">
        <v>14</v>
      </c>
      <c r="P480" t="s">
        <v>61</v>
      </c>
      <c r="R480">
        <v>0</v>
      </c>
      <c r="S480">
        <v>1</v>
      </c>
      <c r="T480">
        <v>2</v>
      </c>
      <c r="U480">
        <v>45</v>
      </c>
      <c r="V480">
        <v>90</v>
      </c>
      <c r="W480">
        <v>101.7</v>
      </c>
      <c r="X480">
        <v>35.270000000000003</v>
      </c>
      <c r="Y480" t="str">
        <f t="shared" si="7"/>
        <v>Remote/Photo Eye Install</v>
      </c>
      <c r="Z480">
        <v>0</v>
      </c>
    </row>
    <row r="481" spans="1:26" x14ac:dyDescent="0.2">
      <c r="A481" t="s">
        <v>10</v>
      </c>
      <c r="B481" t="s">
        <v>11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O481" t="s">
        <v>8</v>
      </c>
      <c r="Q481" t="s">
        <v>12</v>
      </c>
      <c r="R481">
        <v>0</v>
      </c>
      <c r="S481">
        <v>0</v>
      </c>
      <c r="T481">
        <v>1</v>
      </c>
      <c r="U481">
        <v>400</v>
      </c>
      <c r="V481">
        <v>400</v>
      </c>
      <c r="W481">
        <v>452</v>
      </c>
      <c r="X481">
        <v>7.31</v>
      </c>
      <c r="Z481">
        <v>0</v>
      </c>
    </row>
    <row r="482" spans="1:26" x14ac:dyDescent="0.2">
      <c r="A482" t="s">
        <v>10</v>
      </c>
      <c r="B482" t="s">
        <v>18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1</v>
      </c>
      <c r="O482" t="s">
        <v>14</v>
      </c>
      <c r="P482" t="s">
        <v>19</v>
      </c>
      <c r="R482">
        <v>0</v>
      </c>
      <c r="S482">
        <v>1</v>
      </c>
      <c r="T482">
        <v>3</v>
      </c>
      <c r="U482">
        <v>1000</v>
      </c>
      <c r="V482">
        <v>3000</v>
      </c>
      <c r="W482">
        <v>3390</v>
      </c>
      <c r="X482">
        <v>8.98</v>
      </c>
      <c r="Y482" t="str">
        <f t="shared" si="7"/>
        <v>Hardware/Parts Install</v>
      </c>
      <c r="Z482">
        <v>0</v>
      </c>
    </row>
    <row r="483" spans="1:26" x14ac:dyDescent="0.2">
      <c r="A483" t="s">
        <v>6</v>
      </c>
      <c r="B483" t="s">
        <v>20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O483" t="s">
        <v>8</v>
      </c>
      <c r="Q483" t="s">
        <v>149</v>
      </c>
      <c r="R483">
        <v>0</v>
      </c>
      <c r="S483">
        <v>0</v>
      </c>
      <c r="T483">
        <v>1</v>
      </c>
      <c r="U483">
        <v>1400</v>
      </c>
      <c r="V483">
        <v>1400</v>
      </c>
      <c r="W483">
        <v>1582</v>
      </c>
      <c r="X483">
        <v>12.26</v>
      </c>
      <c r="Z483">
        <v>0</v>
      </c>
    </row>
    <row r="484" spans="1:26" x14ac:dyDescent="0.2">
      <c r="A484" t="s">
        <v>6</v>
      </c>
      <c r="B484" t="s">
        <v>22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O484" t="s">
        <v>23</v>
      </c>
      <c r="Q484" t="s">
        <v>149</v>
      </c>
      <c r="R484">
        <v>0</v>
      </c>
      <c r="S484">
        <v>0</v>
      </c>
      <c r="T484">
        <v>5</v>
      </c>
      <c r="U484">
        <v>150</v>
      </c>
      <c r="V484">
        <v>750</v>
      </c>
      <c r="W484">
        <v>847.5</v>
      </c>
      <c r="X484">
        <v>15.01</v>
      </c>
      <c r="Z484">
        <v>0</v>
      </c>
    </row>
    <row r="485" spans="1:26" x14ac:dyDescent="0.2">
      <c r="A485" t="s">
        <v>6</v>
      </c>
      <c r="B485" t="s">
        <v>22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O485" t="s">
        <v>14</v>
      </c>
      <c r="Q485" t="s">
        <v>149</v>
      </c>
      <c r="R485">
        <v>0</v>
      </c>
      <c r="S485">
        <v>1</v>
      </c>
      <c r="T485">
        <v>5</v>
      </c>
      <c r="U485">
        <v>350</v>
      </c>
      <c r="V485">
        <v>1750</v>
      </c>
      <c r="W485">
        <v>1977.5</v>
      </c>
      <c r="X485">
        <v>15.01</v>
      </c>
      <c r="Y485" t="str">
        <f t="shared" si="7"/>
        <v xml:space="preserve"> Install</v>
      </c>
      <c r="Z485">
        <v>0</v>
      </c>
    </row>
    <row r="486" spans="1:26" x14ac:dyDescent="0.2">
      <c r="A486" t="s">
        <v>10</v>
      </c>
      <c r="B486" t="s">
        <v>185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1</v>
      </c>
      <c r="O486" t="s">
        <v>24</v>
      </c>
      <c r="P486" t="s">
        <v>19</v>
      </c>
      <c r="R486">
        <v>0</v>
      </c>
      <c r="S486">
        <v>0</v>
      </c>
      <c r="T486">
        <v>1</v>
      </c>
      <c r="U486">
        <v>500</v>
      </c>
      <c r="V486">
        <v>500</v>
      </c>
      <c r="W486">
        <v>565</v>
      </c>
      <c r="X486">
        <v>16.96</v>
      </c>
      <c r="Z486">
        <v>0</v>
      </c>
    </row>
    <row r="487" spans="1:26" x14ac:dyDescent="0.2">
      <c r="A487" t="s">
        <v>10</v>
      </c>
      <c r="B487" t="s">
        <v>264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O487" t="s">
        <v>14</v>
      </c>
      <c r="P487" t="s">
        <v>19</v>
      </c>
      <c r="R487">
        <v>0</v>
      </c>
      <c r="S487">
        <v>1</v>
      </c>
      <c r="T487">
        <v>1</v>
      </c>
      <c r="U487">
        <v>107.14</v>
      </c>
      <c r="V487">
        <v>107.14</v>
      </c>
      <c r="W487">
        <v>121.0682</v>
      </c>
      <c r="X487">
        <v>17</v>
      </c>
      <c r="Y487" t="str">
        <f t="shared" si="7"/>
        <v>Hardware/Parts Install</v>
      </c>
      <c r="Z487">
        <v>0</v>
      </c>
    </row>
    <row r="488" spans="1:26" x14ac:dyDescent="0.2">
      <c r="A488" t="s">
        <v>10</v>
      </c>
      <c r="B488" t="s">
        <v>264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O488" t="s">
        <v>26</v>
      </c>
      <c r="Q488" t="s">
        <v>27</v>
      </c>
      <c r="R488">
        <v>0</v>
      </c>
      <c r="S488">
        <v>0</v>
      </c>
      <c r="T488">
        <v>1</v>
      </c>
      <c r="U488">
        <v>550</v>
      </c>
      <c r="V488">
        <v>550</v>
      </c>
      <c r="W488">
        <v>621.5</v>
      </c>
      <c r="X488">
        <v>17.09</v>
      </c>
      <c r="Z488">
        <v>0</v>
      </c>
    </row>
    <row r="489" spans="1:26" x14ac:dyDescent="0.2">
      <c r="A489" t="s">
        <v>10</v>
      </c>
      <c r="B489" t="s">
        <v>269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O489" t="s">
        <v>14</v>
      </c>
      <c r="P489" t="s">
        <v>19</v>
      </c>
      <c r="R489">
        <v>0</v>
      </c>
      <c r="S489">
        <v>1</v>
      </c>
      <c r="T489">
        <v>1</v>
      </c>
      <c r="U489">
        <v>500</v>
      </c>
      <c r="V489">
        <v>500</v>
      </c>
      <c r="W489">
        <v>565</v>
      </c>
      <c r="X489">
        <v>17.690000000000001</v>
      </c>
      <c r="Y489" t="str">
        <f t="shared" si="7"/>
        <v>Hardware/Parts Install</v>
      </c>
      <c r="Z489">
        <v>0</v>
      </c>
    </row>
    <row r="490" spans="1:26" x14ac:dyDescent="0.2">
      <c r="A490" t="s">
        <v>10</v>
      </c>
      <c r="B490" t="s">
        <v>37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O490" t="s">
        <v>38</v>
      </c>
      <c r="P490" t="s">
        <v>19</v>
      </c>
      <c r="R490">
        <v>0</v>
      </c>
      <c r="S490">
        <v>0</v>
      </c>
      <c r="T490">
        <v>1</v>
      </c>
      <c r="U490">
        <v>500</v>
      </c>
      <c r="V490">
        <v>500</v>
      </c>
      <c r="W490">
        <v>565</v>
      </c>
      <c r="X490">
        <v>21.98</v>
      </c>
      <c r="Y490" t="str">
        <f t="shared" si="7"/>
        <v>Hardware/Parts Supply &amp; Install</v>
      </c>
      <c r="Z490">
        <v>0</v>
      </c>
    </row>
    <row r="491" spans="1:26" x14ac:dyDescent="0.2">
      <c r="A491" t="s">
        <v>42</v>
      </c>
      <c r="B491" t="s">
        <v>18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O491" t="s">
        <v>14</v>
      </c>
      <c r="P491" t="s">
        <v>19</v>
      </c>
      <c r="R491">
        <v>0</v>
      </c>
      <c r="S491">
        <v>1</v>
      </c>
      <c r="T491">
        <v>3</v>
      </c>
      <c r="U491">
        <v>1055</v>
      </c>
      <c r="V491">
        <v>1055</v>
      </c>
      <c r="W491">
        <v>1192.1500000000001</v>
      </c>
      <c r="X491">
        <v>22.96</v>
      </c>
      <c r="Y491" t="str">
        <f t="shared" si="7"/>
        <v>Hardware/Parts Install</v>
      </c>
      <c r="Z491">
        <v>0</v>
      </c>
    </row>
    <row r="492" spans="1:26" x14ac:dyDescent="0.2">
      <c r="A492" t="s">
        <v>10</v>
      </c>
      <c r="B492" t="s">
        <v>43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O492" t="s">
        <v>14</v>
      </c>
      <c r="Q492" t="s">
        <v>254</v>
      </c>
      <c r="R492">
        <v>0</v>
      </c>
      <c r="S492">
        <v>1</v>
      </c>
      <c r="T492">
        <v>1</v>
      </c>
      <c r="U492">
        <v>250</v>
      </c>
      <c r="V492">
        <v>250</v>
      </c>
      <c r="W492">
        <v>282.5</v>
      </c>
      <c r="X492">
        <v>24.4</v>
      </c>
      <c r="Y492" t="str">
        <f t="shared" si="7"/>
        <v xml:space="preserve"> Install</v>
      </c>
      <c r="Z492">
        <v>0</v>
      </c>
    </row>
    <row r="493" spans="1:26" x14ac:dyDescent="0.2">
      <c r="A493" t="s">
        <v>10</v>
      </c>
      <c r="B493" t="s">
        <v>265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O493" t="s">
        <v>14</v>
      </c>
      <c r="P493" t="s">
        <v>19</v>
      </c>
      <c r="R493">
        <v>0</v>
      </c>
      <c r="S493">
        <v>1</v>
      </c>
      <c r="T493">
        <v>1</v>
      </c>
      <c r="U493">
        <v>50</v>
      </c>
      <c r="V493">
        <v>1000</v>
      </c>
      <c r="W493">
        <v>1130</v>
      </c>
      <c r="X493">
        <v>28</v>
      </c>
      <c r="Y493" t="str">
        <f t="shared" si="7"/>
        <v>Hardware/Parts Install</v>
      </c>
      <c r="Z493">
        <v>0</v>
      </c>
    </row>
    <row r="494" spans="1:26" x14ac:dyDescent="0.2">
      <c r="A494" t="s">
        <v>6</v>
      </c>
      <c r="B494" t="s">
        <v>270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O494" t="s">
        <v>8</v>
      </c>
      <c r="Q494" t="s">
        <v>271</v>
      </c>
      <c r="R494">
        <v>0</v>
      </c>
      <c r="S494">
        <v>0</v>
      </c>
      <c r="T494">
        <v>1</v>
      </c>
      <c r="U494">
        <v>1100</v>
      </c>
      <c r="V494">
        <v>1100</v>
      </c>
      <c r="W494">
        <v>1243</v>
      </c>
      <c r="X494">
        <v>31.52</v>
      </c>
      <c r="Z494">
        <v>0</v>
      </c>
    </row>
    <row r="495" spans="1:26" x14ac:dyDescent="0.2">
      <c r="A495" t="s">
        <v>42</v>
      </c>
      <c r="B495" t="s">
        <v>51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O495" t="s">
        <v>14</v>
      </c>
      <c r="P495" t="s">
        <v>19</v>
      </c>
      <c r="R495">
        <v>0</v>
      </c>
      <c r="S495">
        <v>1</v>
      </c>
      <c r="T495">
        <v>6</v>
      </c>
      <c r="U495">
        <v>100</v>
      </c>
      <c r="V495">
        <v>600</v>
      </c>
      <c r="W495">
        <v>678</v>
      </c>
      <c r="X495">
        <v>31.52</v>
      </c>
      <c r="Y495" t="str">
        <f t="shared" si="7"/>
        <v>Hardware/Parts Install</v>
      </c>
      <c r="Z495">
        <v>0</v>
      </c>
    </row>
    <row r="496" spans="1:26" x14ac:dyDescent="0.2">
      <c r="A496" t="s">
        <v>6</v>
      </c>
      <c r="B496" t="s">
        <v>65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O496" t="s">
        <v>14</v>
      </c>
      <c r="Q496" t="s">
        <v>149</v>
      </c>
      <c r="R496">
        <v>0</v>
      </c>
      <c r="S496">
        <v>1</v>
      </c>
      <c r="T496">
        <v>1</v>
      </c>
      <c r="U496">
        <v>750</v>
      </c>
      <c r="V496">
        <v>750</v>
      </c>
      <c r="W496">
        <v>847.5</v>
      </c>
      <c r="X496">
        <v>39.86</v>
      </c>
      <c r="Y496" t="str">
        <f t="shared" si="7"/>
        <v xml:space="preserve"> Install</v>
      </c>
      <c r="Z496">
        <v>0</v>
      </c>
    </row>
    <row r="497" spans="1:26" x14ac:dyDescent="0.2">
      <c r="A497" t="s">
        <v>42</v>
      </c>
      <c r="B497" t="s">
        <v>264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O497" t="s">
        <v>14</v>
      </c>
      <c r="Q497" t="s">
        <v>149</v>
      </c>
      <c r="R497">
        <v>0</v>
      </c>
      <c r="S497">
        <v>1</v>
      </c>
      <c r="T497">
        <v>1</v>
      </c>
      <c r="U497">
        <v>46</v>
      </c>
      <c r="V497">
        <v>46</v>
      </c>
      <c r="W497">
        <v>51.980000000000004</v>
      </c>
      <c r="X497">
        <v>40.54</v>
      </c>
      <c r="Y497" t="str">
        <f t="shared" si="7"/>
        <v xml:space="preserve"> Install</v>
      </c>
      <c r="Z497">
        <v>0</v>
      </c>
    </row>
    <row r="498" spans="1:26" x14ac:dyDescent="0.2">
      <c r="A498" t="s">
        <v>42</v>
      </c>
      <c r="B498" t="s">
        <v>264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O498" t="s">
        <v>66</v>
      </c>
      <c r="P498" t="s">
        <v>19</v>
      </c>
      <c r="R498">
        <v>0</v>
      </c>
      <c r="S498">
        <v>1</v>
      </c>
      <c r="T498">
        <v>16</v>
      </c>
      <c r="U498">
        <v>14</v>
      </c>
      <c r="V498">
        <v>224</v>
      </c>
      <c r="W498">
        <v>253.12</v>
      </c>
      <c r="X498">
        <v>40.54</v>
      </c>
      <c r="Y498" t="str">
        <f t="shared" si="7"/>
        <v>Hardware/Parts install</v>
      </c>
      <c r="Z498">
        <v>0</v>
      </c>
    </row>
    <row r="499" spans="1:26" x14ac:dyDescent="0.2">
      <c r="A499" t="s">
        <v>42</v>
      </c>
      <c r="B499" t="s">
        <v>264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O499" t="s">
        <v>14</v>
      </c>
      <c r="Q499" t="s">
        <v>149</v>
      </c>
      <c r="R499">
        <v>0</v>
      </c>
      <c r="S499">
        <v>1</v>
      </c>
      <c r="T499">
        <v>1</v>
      </c>
      <c r="U499">
        <v>54</v>
      </c>
      <c r="V499">
        <v>378</v>
      </c>
      <c r="W499">
        <v>427.14</v>
      </c>
      <c r="X499">
        <v>40.54</v>
      </c>
      <c r="Y499" t="str">
        <f t="shared" si="7"/>
        <v xml:space="preserve"> Install</v>
      </c>
      <c r="Z499">
        <v>0</v>
      </c>
    </row>
    <row r="500" spans="1:26" x14ac:dyDescent="0.2">
      <c r="A500" t="s">
        <v>42</v>
      </c>
      <c r="B500" t="s">
        <v>264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O500" t="s">
        <v>14</v>
      </c>
      <c r="P500" t="s">
        <v>19</v>
      </c>
      <c r="R500">
        <v>0</v>
      </c>
      <c r="S500">
        <v>1</v>
      </c>
      <c r="T500">
        <v>2</v>
      </c>
      <c r="U500">
        <v>572</v>
      </c>
      <c r="V500">
        <v>1144</v>
      </c>
      <c r="W500">
        <v>1292.72</v>
      </c>
      <c r="X500">
        <v>40.54</v>
      </c>
      <c r="Y500" t="str">
        <f t="shared" si="7"/>
        <v>Hardware/Parts Install</v>
      </c>
      <c r="Z500">
        <v>0</v>
      </c>
    </row>
    <row r="501" spans="1:26" x14ac:dyDescent="0.2">
      <c r="A501" t="s">
        <v>42</v>
      </c>
      <c r="B501" t="s">
        <v>264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O501" t="s">
        <v>14</v>
      </c>
      <c r="P501" t="s">
        <v>19</v>
      </c>
      <c r="R501">
        <v>0</v>
      </c>
      <c r="S501">
        <v>1</v>
      </c>
      <c r="T501">
        <v>2</v>
      </c>
      <c r="U501">
        <v>33</v>
      </c>
      <c r="V501">
        <v>66</v>
      </c>
      <c r="W501">
        <v>74.58</v>
      </c>
      <c r="X501">
        <v>40.78</v>
      </c>
      <c r="Y501" t="str">
        <f t="shared" si="7"/>
        <v>Hardware/Parts Install</v>
      </c>
      <c r="Z501">
        <v>0</v>
      </c>
    </row>
    <row r="502" spans="1:26" x14ac:dyDescent="0.2">
      <c r="A502" t="s">
        <v>42</v>
      </c>
      <c r="B502" t="s">
        <v>264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O502" t="s">
        <v>14</v>
      </c>
      <c r="P502" t="s">
        <v>19</v>
      </c>
      <c r="R502">
        <v>0</v>
      </c>
      <c r="S502">
        <v>1</v>
      </c>
      <c r="T502">
        <v>8</v>
      </c>
      <c r="U502">
        <v>32</v>
      </c>
      <c r="V502">
        <v>256</v>
      </c>
      <c r="W502">
        <v>289.27999999999997</v>
      </c>
      <c r="X502">
        <v>40.78</v>
      </c>
      <c r="Y502" t="str">
        <f t="shared" si="7"/>
        <v>Hardware/Parts Install</v>
      </c>
      <c r="Z502">
        <v>0</v>
      </c>
    </row>
    <row r="503" spans="1:26" x14ac:dyDescent="0.2">
      <c r="A503" t="s">
        <v>6</v>
      </c>
      <c r="B503" t="s">
        <v>228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O503" t="s">
        <v>23</v>
      </c>
      <c r="Q503" t="s">
        <v>149</v>
      </c>
      <c r="R503">
        <v>0</v>
      </c>
      <c r="S503">
        <v>0</v>
      </c>
      <c r="T503">
        <v>1</v>
      </c>
      <c r="U503">
        <v>800</v>
      </c>
      <c r="V503">
        <v>800</v>
      </c>
      <c r="W503">
        <v>904</v>
      </c>
      <c r="X503">
        <v>47.29</v>
      </c>
      <c r="Z503">
        <v>0</v>
      </c>
    </row>
    <row r="504" spans="1:26" x14ac:dyDescent="0.2">
      <c r="A504" t="s">
        <v>6</v>
      </c>
      <c r="B504" t="s">
        <v>172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O504" t="s">
        <v>8</v>
      </c>
      <c r="P504" t="s">
        <v>19</v>
      </c>
      <c r="R504">
        <v>0</v>
      </c>
      <c r="S504">
        <v>0</v>
      </c>
      <c r="T504">
        <v>1</v>
      </c>
      <c r="U504">
        <v>840</v>
      </c>
      <c r="V504">
        <v>840</v>
      </c>
      <c r="W504">
        <v>949.2</v>
      </c>
      <c r="X504">
        <v>49.68</v>
      </c>
      <c r="Z504">
        <v>0</v>
      </c>
    </row>
    <row r="505" spans="1:26" x14ac:dyDescent="0.2">
      <c r="A505" t="s">
        <v>6</v>
      </c>
      <c r="B505" t="s">
        <v>35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O505" t="s">
        <v>17</v>
      </c>
      <c r="P505" t="s">
        <v>19</v>
      </c>
      <c r="R505">
        <v>0</v>
      </c>
      <c r="S505">
        <v>0</v>
      </c>
      <c r="T505">
        <v>1</v>
      </c>
      <c r="U505">
        <v>420</v>
      </c>
      <c r="V505">
        <v>420</v>
      </c>
      <c r="W505">
        <v>474.6</v>
      </c>
      <c r="X505">
        <v>49.68</v>
      </c>
      <c r="Z505">
        <v>0</v>
      </c>
    </row>
    <row r="506" spans="1:26" x14ac:dyDescent="0.2">
      <c r="A506" t="s">
        <v>10</v>
      </c>
      <c r="B506" t="s">
        <v>168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1</v>
      </c>
      <c r="O506" t="s">
        <v>24</v>
      </c>
      <c r="P506" t="s">
        <v>19</v>
      </c>
      <c r="R506">
        <v>0</v>
      </c>
      <c r="S506">
        <v>0</v>
      </c>
      <c r="T506">
        <v>1</v>
      </c>
      <c r="U506">
        <v>1000</v>
      </c>
      <c r="V506">
        <v>1000</v>
      </c>
      <c r="W506">
        <v>1130</v>
      </c>
      <c r="X506">
        <v>51.46</v>
      </c>
      <c r="Z506">
        <v>0</v>
      </c>
    </row>
    <row r="507" spans="1:26" x14ac:dyDescent="0.2">
      <c r="A507" t="s">
        <v>10</v>
      </c>
      <c r="B507" t="s">
        <v>181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1</v>
      </c>
      <c r="O507" t="s">
        <v>38</v>
      </c>
      <c r="P507" t="s">
        <v>19</v>
      </c>
      <c r="R507">
        <v>0</v>
      </c>
      <c r="S507">
        <v>0</v>
      </c>
      <c r="T507">
        <v>1</v>
      </c>
      <c r="U507">
        <v>1000</v>
      </c>
      <c r="V507">
        <v>1000</v>
      </c>
      <c r="W507">
        <v>1130</v>
      </c>
      <c r="X507">
        <v>51.46</v>
      </c>
      <c r="Y507" t="str">
        <f t="shared" si="7"/>
        <v>Hardware/Parts Supply &amp; Install</v>
      </c>
      <c r="Z507">
        <v>0</v>
      </c>
    </row>
    <row r="508" spans="1:26" x14ac:dyDescent="0.2">
      <c r="A508" t="s">
        <v>10</v>
      </c>
      <c r="B508" t="s">
        <v>16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O508" t="s">
        <v>26</v>
      </c>
      <c r="Q508" t="s">
        <v>27</v>
      </c>
      <c r="R508">
        <v>0</v>
      </c>
      <c r="S508">
        <v>0</v>
      </c>
      <c r="T508">
        <v>2</v>
      </c>
      <c r="U508">
        <v>1000</v>
      </c>
      <c r="V508">
        <v>1000</v>
      </c>
      <c r="W508">
        <v>1130</v>
      </c>
      <c r="X508">
        <v>51.46</v>
      </c>
      <c r="Z508">
        <v>0</v>
      </c>
    </row>
    <row r="509" spans="1:26" x14ac:dyDescent="0.2">
      <c r="A509" t="s">
        <v>10</v>
      </c>
      <c r="B509" t="s">
        <v>76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O509" t="s">
        <v>31</v>
      </c>
      <c r="Q509" t="s">
        <v>149</v>
      </c>
      <c r="R509">
        <v>0</v>
      </c>
      <c r="S509">
        <v>0</v>
      </c>
      <c r="T509">
        <v>2</v>
      </c>
      <c r="U509">
        <v>100</v>
      </c>
      <c r="V509">
        <v>200</v>
      </c>
      <c r="W509">
        <v>226</v>
      </c>
      <c r="X509">
        <v>51.62</v>
      </c>
      <c r="Z509">
        <v>0</v>
      </c>
    </row>
    <row r="510" spans="1:26" x14ac:dyDescent="0.2">
      <c r="A510" t="s">
        <v>6</v>
      </c>
      <c r="B510" t="s">
        <v>232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O510" t="s">
        <v>14</v>
      </c>
      <c r="Q510" t="s">
        <v>12</v>
      </c>
      <c r="R510">
        <v>0</v>
      </c>
      <c r="S510">
        <v>1</v>
      </c>
      <c r="T510">
        <v>1</v>
      </c>
      <c r="U510">
        <v>55</v>
      </c>
      <c r="V510">
        <v>55</v>
      </c>
      <c r="W510">
        <v>62.15</v>
      </c>
      <c r="X510">
        <v>51.62</v>
      </c>
      <c r="Y510" t="str">
        <f t="shared" si="7"/>
        <v xml:space="preserve"> Install</v>
      </c>
      <c r="Z510">
        <v>0</v>
      </c>
    </row>
    <row r="511" spans="1:26" x14ac:dyDescent="0.2">
      <c r="A511" t="s">
        <v>10</v>
      </c>
      <c r="B511" t="s">
        <v>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O511" t="s">
        <v>26</v>
      </c>
      <c r="Q511" t="s">
        <v>27</v>
      </c>
      <c r="R511">
        <v>0</v>
      </c>
      <c r="S511">
        <v>0</v>
      </c>
      <c r="T511">
        <v>2</v>
      </c>
      <c r="U511">
        <v>2000</v>
      </c>
      <c r="V511">
        <v>2000</v>
      </c>
      <c r="W511">
        <v>2260</v>
      </c>
      <c r="X511">
        <v>51.68</v>
      </c>
      <c r="Z511">
        <v>0</v>
      </c>
    </row>
    <row r="512" spans="1:26" x14ac:dyDescent="0.2">
      <c r="A512" t="s">
        <v>10</v>
      </c>
      <c r="B512" t="s">
        <v>185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O512" t="s">
        <v>14</v>
      </c>
      <c r="P512" t="s">
        <v>19</v>
      </c>
      <c r="R512">
        <v>0</v>
      </c>
      <c r="S512">
        <v>1</v>
      </c>
      <c r="T512">
        <v>1</v>
      </c>
      <c r="U512">
        <v>360</v>
      </c>
      <c r="V512">
        <v>360</v>
      </c>
      <c r="W512">
        <v>406.8</v>
      </c>
      <c r="X512">
        <v>52.62</v>
      </c>
      <c r="Y512" t="str">
        <f t="shared" si="7"/>
        <v>Hardware/Parts Install</v>
      </c>
      <c r="Z512">
        <v>0</v>
      </c>
    </row>
    <row r="513" spans="1:26" x14ac:dyDescent="0.2">
      <c r="A513" t="s">
        <v>10</v>
      </c>
      <c r="B513" t="s">
        <v>48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O513" t="s">
        <v>26</v>
      </c>
      <c r="Q513" t="s">
        <v>27</v>
      </c>
      <c r="R513">
        <v>0</v>
      </c>
      <c r="S513">
        <v>0</v>
      </c>
      <c r="T513">
        <v>1</v>
      </c>
      <c r="U513">
        <v>550</v>
      </c>
      <c r="V513">
        <v>550</v>
      </c>
      <c r="W513">
        <v>621.5</v>
      </c>
      <c r="X513">
        <v>54.35</v>
      </c>
      <c r="Z513">
        <v>0</v>
      </c>
    </row>
    <row r="514" spans="1:26" x14ac:dyDescent="0.2">
      <c r="A514" t="s">
        <v>10</v>
      </c>
      <c r="B514" t="s">
        <v>63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O514" t="s">
        <v>26</v>
      </c>
      <c r="Q514" t="s">
        <v>27</v>
      </c>
      <c r="R514">
        <v>0</v>
      </c>
      <c r="S514">
        <v>0</v>
      </c>
      <c r="T514">
        <v>1</v>
      </c>
      <c r="U514">
        <v>550</v>
      </c>
      <c r="V514">
        <v>550</v>
      </c>
      <c r="W514">
        <v>621.5</v>
      </c>
      <c r="X514">
        <v>54.49</v>
      </c>
      <c r="Z514">
        <v>0</v>
      </c>
    </row>
    <row r="515" spans="1:26" x14ac:dyDescent="0.2">
      <c r="A515" t="s">
        <v>6</v>
      </c>
      <c r="B515" t="s">
        <v>193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O515" t="s">
        <v>49</v>
      </c>
      <c r="Q515" t="s">
        <v>12</v>
      </c>
      <c r="R515">
        <v>0</v>
      </c>
      <c r="S515">
        <v>0</v>
      </c>
      <c r="T515">
        <v>2</v>
      </c>
      <c r="U515">
        <v>1025</v>
      </c>
      <c r="V515">
        <v>2050</v>
      </c>
      <c r="W515">
        <v>2316.5</v>
      </c>
      <c r="X515">
        <v>55.04</v>
      </c>
      <c r="Z515">
        <v>0</v>
      </c>
    </row>
    <row r="516" spans="1:26" x14ac:dyDescent="0.2">
      <c r="A516" t="s">
        <v>6</v>
      </c>
      <c r="B516" t="s">
        <v>209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O516" t="s">
        <v>8</v>
      </c>
      <c r="Q516" t="s">
        <v>271</v>
      </c>
      <c r="R516">
        <v>0</v>
      </c>
      <c r="S516">
        <v>0</v>
      </c>
      <c r="T516">
        <v>1</v>
      </c>
      <c r="U516">
        <v>900</v>
      </c>
      <c r="V516">
        <v>900</v>
      </c>
      <c r="W516">
        <v>1017</v>
      </c>
      <c r="X516">
        <v>55.04</v>
      </c>
      <c r="Z516">
        <v>0</v>
      </c>
    </row>
    <row r="517" spans="1:26" x14ac:dyDescent="0.2">
      <c r="A517" t="s">
        <v>10</v>
      </c>
      <c r="B517" t="s">
        <v>227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O517" t="s">
        <v>26</v>
      </c>
      <c r="Q517" t="s">
        <v>27</v>
      </c>
      <c r="R517">
        <v>0</v>
      </c>
      <c r="S517">
        <v>0</v>
      </c>
      <c r="T517">
        <v>1</v>
      </c>
      <c r="U517">
        <v>1000</v>
      </c>
      <c r="V517">
        <v>1000</v>
      </c>
      <c r="W517">
        <v>1130</v>
      </c>
      <c r="X517">
        <v>55.65</v>
      </c>
      <c r="Z517">
        <v>0</v>
      </c>
    </row>
    <row r="518" spans="1:26" x14ac:dyDescent="0.2">
      <c r="A518" t="s">
        <v>6</v>
      </c>
      <c r="B518" t="s">
        <v>54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O518" t="s">
        <v>14</v>
      </c>
      <c r="Q518" t="s">
        <v>271</v>
      </c>
      <c r="R518">
        <v>0</v>
      </c>
      <c r="S518">
        <v>1</v>
      </c>
      <c r="T518">
        <v>9</v>
      </c>
      <c r="U518">
        <v>2250</v>
      </c>
      <c r="V518">
        <v>2250</v>
      </c>
      <c r="W518">
        <v>2542.5</v>
      </c>
      <c r="X518">
        <v>56</v>
      </c>
      <c r="Y518" t="str">
        <f t="shared" ref="Y514:Y576" si="8">_xlfn.CONCAT($P518&amp;" "&amp;$O518)</f>
        <v xml:space="preserve"> Install</v>
      </c>
      <c r="Z518">
        <v>0</v>
      </c>
    </row>
    <row r="519" spans="1:26" x14ac:dyDescent="0.2">
      <c r="A519" t="s">
        <v>10</v>
      </c>
      <c r="B519" t="s">
        <v>86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O519" t="s">
        <v>26</v>
      </c>
      <c r="Q519" t="s">
        <v>27</v>
      </c>
      <c r="R519">
        <v>0</v>
      </c>
      <c r="S519">
        <v>0</v>
      </c>
      <c r="T519">
        <v>1</v>
      </c>
      <c r="U519">
        <v>1500</v>
      </c>
      <c r="V519">
        <v>1500</v>
      </c>
      <c r="W519">
        <v>1695</v>
      </c>
      <c r="X519">
        <v>59.08</v>
      </c>
      <c r="Z519">
        <v>0</v>
      </c>
    </row>
    <row r="520" spans="1:26" x14ac:dyDescent="0.2">
      <c r="A520" t="s">
        <v>6</v>
      </c>
      <c r="B520" t="s">
        <v>90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O520" t="s">
        <v>38</v>
      </c>
      <c r="Q520" t="s">
        <v>149</v>
      </c>
      <c r="R520">
        <v>0</v>
      </c>
      <c r="S520">
        <v>0</v>
      </c>
      <c r="T520">
        <v>1</v>
      </c>
      <c r="U520">
        <v>600</v>
      </c>
      <c r="V520">
        <v>600</v>
      </c>
      <c r="W520">
        <v>678</v>
      </c>
      <c r="X520">
        <v>63</v>
      </c>
      <c r="Z520">
        <v>0</v>
      </c>
    </row>
    <row r="521" spans="1:26" x14ac:dyDescent="0.2">
      <c r="A521" t="s">
        <v>10</v>
      </c>
      <c r="B521" t="s">
        <v>70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O521" t="s">
        <v>17</v>
      </c>
      <c r="P521" t="s">
        <v>19</v>
      </c>
      <c r="R521">
        <v>0</v>
      </c>
      <c r="S521">
        <v>0</v>
      </c>
      <c r="T521">
        <v>1</v>
      </c>
      <c r="U521">
        <v>700</v>
      </c>
      <c r="V521">
        <v>700</v>
      </c>
      <c r="W521">
        <v>791</v>
      </c>
      <c r="X521">
        <v>64.8</v>
      </c>
      <c r="Z521">
        <v>0</v>
      </c>
    </row>
    <row r="522" spans="1:26" x14ac:dyDescent="0.2">
      <c r="A522" t="s">
        <v>6</v>
      </c>
      <c r="B522" t="s">
        <v>255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O522" t="s">
        <v>8</v>
      </c>
      <c r="Q522" t="s">
        <v>149</v>
      </c>
      <c r="R522">
        <v>0</v>
      </c>
      <c r="S522">
        <v>0</v>
      </c>
      <c r="T522">
        <v>12</v>
      </c>
      <c r="U522">
        <v>300</v>
      </c>
      <c r="V522">
        <v>3600</v>
      </c>
      <c r="W522">
        <v>4068</v>
      </c>
      <c r="X522">
        <v>68.31</v>
      </c>
      <c r="Z522">
        <v>0</v>
      </c>
    </row>
    <row r="523" spans="1:26" x14ac:dyDescent="0.2">
      <c r="A523" t="s">
        <v>10</v>
      </c>
      <c r="B523" t="s">
        <v>168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O523" t="s">
        <v>14</v>
      </c>
      <c r="Q523" t="s">
        <v>12</v>
      </c>
      <c r="R523">
        <v>0</v>
      </c>
      <c r="S523">
        <v>1</v>
      </c>
      <c r="T523">
        <v>3</v>
      </c>
      <c r="U523">
        <v>150</v>
      </c>
      <c r="V523">
        <v>450</v>
      </c>
      <c r="W523">
        <v>508.5</v>
      </c>
      <c r="X523">
        <v>69.44</v>
      </c>
      <c r="Y523" t="str">
        <f t="shared" si="8"/>
        <v xml:space="preserve"> Install</v>
      </c>
      <c r="Z523">
        <v>0</v>
      </c>
    </row>
    <row r="524" spans="1:26" x14ac:dyDescent="0.2">
      <c r="A524" t="s">
        <v>10</v>
      </c>
      <c r="B524" t="s">
        <v>93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O524" t="s">
        <v>26</v>
      </c>
      <c r="Q524" t="s">
        <v>27</v>
      </c>
      <c r="R524">
        <v>0</v>
      </c>
      <c r="S524">
        <v>0</v>
      </c>
      <c r="T524">
        <v>1</v>
      </c>
      <c r="U524">
        <v>2000</v>
      </c>
      <c r="V524">
        <v>2000</v>
      </c>
      <c r="W524">
        <v>2260</v>
      </c>
      <c r="X524">
        <v>71.44</v>
      </c>
      <c r="Z524">
        <v>0</v>
      </c>
    </row>
    <row r="525" spans="1:26" x14ac:dyDescent="0.2">
      <c r="A525" t="s">
        <v>6</v>
      </c>
      <c r="B525" t="s">
        <v>255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O525" t="s">
        <v>8</v>
      </c>
      <c r="Q525" t="s">
        <v>254</v>
      </c>
      <c r="R525">
        <v>0</v>
      </c>
      <c r="S525">
        <v>0</v>
      </c>
      <c r="T525">
        <v>12</v>
      </c>
      <c r="U525">
        <v>100</v>
      </c>
      <c r="V525">
        <v>1200</v>
      </c>
      <c r="W525">
        <v>1356</v>
      </c>
      <c r="X525">
        <v>71.72</v>
      </c>
      <c r="Z525">
        <v>0</v>
      </c>
    </row>
    <row r="526" spans="1:26" x14ac:dyDescent="0.2">
      <c r="A526" t="s">
        <v>10</v>
      </c>
      <c r="B526" t="s">
        <v>30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O526" t="s">
        <v>26</v>
      </c>
      <c r="Q526" t="s">
        <v>27</v>
      </c>
      <c r="R526">
        <v>0</v>
      </c>
      <c r="S526">
        <v>0</v>
      </c>
      <c r="T526">
        <v>1</v>
      </c>
      <c r="U526">
        <v>550</v>
      </c>
      <c r="V526">
        <v>550</v>
      </c>
      <c r="W526">
        <v>621.5</v>
      </c>
      <c r="X526">
        <v>74.67</v>
      </c>
      <c r="Z526">
        <v>0</v>
      </c>
    </row>
    <row r="527" spans="1:26" x14ac:dyDescent="0.2">
      <c r="A527" t="s">
        <v>10</v>
      </c>
      <c r="B527" t="s">
        <v>65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O527" t="s">
        <v>66</v>
      </c>
      <c r="Q527" t="s">
        <v>149</v>
      </c>
      <c r="R527">
        <v>0</v>
      </c>
      <c r="S527">
        <v>1</v>
      </c>
      <c r="T527">
        <v>1</v>
      </c>
      <c r="U527">
        <v>750</v>
      </c>
      <c r="V527">
        <v>750</v>
      </c>
      <c r="W527">
        <v>847.5</v>
      </c>
      <c r="X527">
        <v>74.930000000000007</v>
      </c>
      <c r="Y527" t="str">
        <f t="shared" si="8"/>
        <v xml:space="preserve"> install</v>
      </c>
      <c r="Z527">
        <v>0</v>
      </c>
    </row>
    <row r="528" spans="1:26" x14ac:dyDescent="0.2">
      <c r="A528" t="s">
        <v>10</v>
      </c>
      <c r="B528" t="s">
        <v>96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O528" t="s">
        <v>14</v>
      </c>
      <c r="Q528" t="s">
        <v>149</v>
      </c>
      <c r="R528">
        <v>0</v>
      </c>
      <c r="S528">
        <v>1</v>
      </c>
      <c r="T528">
        <v>2</v>
      </c>
      <c r="U528">
        <v>110</v>
      </c>
      <c r="V528">
        <v>605</v>
      </c>
      <c r="W528">
        <v>683.65</v>
      </c>
      <c r="X528">
        <v>79.17</v>
      </c>
      <c r="Y528" t="str">
        <f t="shared" si="8"/>
        <v xml:space="preserve"> Install</v>
      </c>
      <c r="Z528">
        <v>0</v>
      </c>
    </row>
    <row r="529" spans="1:26" x14ac:dyDescent="0.2">
      <c r="A529" t="s">
        <v>10</v>
      </c>
      <c r="B529" t="s">
        <v>96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O529" t="s">
        <v>24</v>
      </c>
      <c r="P529" t="s">
        <v>19</v>
      </c>
      <c r="R529">
        <v>0</v>
      </c>
      <c r="S529">
        <v>0</v>
      </c>
      <c r="T529">
        <v>2</v>
      </c>
      <c r="U529">
        <v>110</v>
      </c>
      <c r="V529">
        <v>220</v>
      </c>
      <c r="W529">
        <v>248.6</v>
      </c>
      <c r="X529">
        <v>79.400000000000006</v>
      </c>
      <c r="Z529">
        <v>0</v>
      </c>
    </row>
    <row r="530" spans="1:26" x14ac:dyDescent="0.2">
      <c r="A530" t="s">
        <v>6</v>
      </c>
      <c r="B530" t="s">
        <v>272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O530" t="s">
        <v>14</v>
      </c>
      <c r="Q530" t="s">
        <v>149</v>
      </c>
      <c r="R530">
        <v>0</v>
      </c>
      <c r="S530">
        <v>1</v>
      </c>
      <c r="T530">
        <v>4</v>
      </c>
      <c r="U530">
        <v>275</v>
      </c>
      <c r="V530">
        <v>1100</v>
      </c>
      <c r="W530">
        <v>1243</v>
      </c>
      <c r="X530">
        <v>80.900000000000006</v>
      </c>
      <c r="Y530" t="str">
        <f t="shared" si="8"/>
        <v xml:space="preserve"> Install</v>
      </c>
      <c r="Z530">
        <v>0</v>
      </c>
    </row>
    <row r="531" spans="1:26" x14ac:dyDescent="0.2">
      <c r="A531" t="s">
        <v>6</v>
      </c>
      <c r="B531" t="s">
        <v>47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 t="s">
        <v>273</v>
      </c>
      <c r="O531" t="s">
        <v>88</v>
      </c>
      <c r="P531" t="s">
        <v>19</v>
      </c>
      <c r="R531">
        <v>0</v>
      </c>
      <c r="S531">
        <v>0</v>
      </c>
      <c r="T531">
        <v>1</v>
      </c>
      <c r="U531">
        <v>882</v>
      </c>
      <c r="V531">
        <v>882</v>
      </c>
      <c r="W531">
        <v>996.66</v>
      </c>
      <c r="X531">
        <v>82.39</v>
      </c>
      <c r="Z531">
        <v>0</v>
      </c>
    </row>
    <row r="532" spans="1:26" x14ac:dyDescent="0.2">
      <c r="A532" t="s">
        <v>6</v>
      </c>
      <c r="B532" t="s">
        <v>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O532" t="s">
        <v>14</v>
      </c>
      <c r="Q532" t="s">
        <v>149</v>
      </c>
      <c r="R532">
        <v>0</v>
      </c>
      <c r="S532">
        <v>1</v>
      </c>
      <c r="T532">
        <v>13</v>
      </c>
      <c r="U532">
        <v>250</v>
      </c>
      <c r="V532">
        <v>3250</v>
      </c>
      <c r="W532">
        <v>3672.5</v>
      </c>
      <c r="X532">
        <v>90.61</v>
      </c>
      <c r="Y532" t="str">
        <f t="shared" si="8"/>
        <v xml:space="preserve"> Install</v>
      </c>
      <c r="Z532">
        <v>0</v>
      </c>
    </row>
    <row r="533" spans="1:26" x14ac:dyDescent="0.2">
      <c r="A533" t="s">
        <v>10</v>
      </c>
      <c r="B533" t="s">
        <v>30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O533" t="s">
        <v>26</v>
      </c>
      <c r="Q533" t="s">
        <v>27</v>
      </c>
      <c r="R533">
        <v>0</v>
      </c>
      <c r="S533">
        <v>0</v>
      </c>
      <c r="T533">
        <v>1</v>
      </c>
      <c r="U533">
        <v>550</v>
      </c>
      <c r="V533">
        <v>550</v>
      </c>
      <c r="W533">
        <v>621.5</v>
      </c>
      <c r="X533">
        <v>95.71</v>
      </c>
      <c r="Z533">
        <v>0</v>
      </c>
    </row>
    <row r="534" spans="1:26" x14ac:dyDescent="0.2">
      <c r="A534" t="s">
        <v>10</v>
      </c>
      <c r="B534" t="s">
        <v>48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O534" t="s">
        <v>17</v>
      </c>
      <c r="P534" t="s">
        <v>19</v>
      </c>
      <c r="R534">
        <v>0</v>
      </c>
      <c r="S534">
        <v>0</v>
      </c>
      <c r="T534">
        <v>1</v>
      </c>
      <c r="U534">
        <v>500</v>
      </c>
      <c r="V534">
        <v>500</v>
      </c>
      <c r="W534">
        <v>565</v>
      </c>
      <c r="X534">
        <v>102.92</v>
      </c>
      <c r="Z534">
        <v>1</v>
      </c>
    </row>
    <row r="535" spans="1:26" x14ac:dyDescent="0.2">
      <c r="A535" t="s">
        <v>10</v>
      </c>
      <c r="B535" t="s">
        <v>37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O535" t="s">
        <v>26</v>
      </c>
      <c r="Q535" t="s">
        <v>27</v>
      </c>
      <c r="R535">
        <v>0</v>
      </c>
      <c r="S535">
        <v>0</v>
      </c>
      <c r="T535">
        <v>1</v>
      </c>
      <c r="U535">
        <v>1000</v>
      </c>
      <c r="V535">
        <v>1000</v>
      </c>
      <c r="W535">
        <v>1130</v>
      </c>
      <c r="X535">
        <v>108.4</v>
      </c>
      <c r="Z535">
        <v>1</v>
      </c>
    </row>
    <row r="536" spans="1:26" x14ac:dyDescent="0.2">
      <c r="A536" t="s">
        <v>10</v>
      </c>
      <c r="B536" t="s">
        <v>57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O536" t="s">
        <v>26</v>
      </c>
      <c r="Q536" t="s">
        <v>27</v>
      </c>
      <c r="R536">
        <v>0</v>
      </c>
      <c r="S536">
        <v>0</v>
      </c>
      <c r="T536">
        <v>1</v>
      </c>
      <c r="U536">
        <v>1000</v>
      </c>
      <c r="V536">
        <v>1000</v>
      </c>
      <c r="W536">
        <v>1130</v>
      </c>
      <c r="X536">
        <v>110</v>
      </c>
      <c r="Z536">
        <v>1</v>
      </c>
    </row>
    <row r="537" spans="1:26" x14ac:dyDescent="0.2">
      <c r="A537" t="s">
        <v>10</v>
      </c>
      <c r="B537" t="s">
        <v>56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O537" t="s">
        <v>14</v>
      </c>
      <c r="Q537" t="s">
        <v>149</v>
      </c>
      <c r="R537">
        <v>0</v>
      </c>
      <c r="S537">
        <v>1</v>
      </c>
      <c r="T537">
        <v>4</v>
      </c>
      <c r="U537">
        <v>200</v>
      </c>
      <c r="V537">
        <v>800</v>
      </c>
      <c r="W537">
        <v>904</v>
      </c>
      <c r="X537">
        <v>110.71</v>
      </c>
      <c r="Y537" t="str">
        <f t="shared" si="8"/>
        <v xml:space="preserve"> Install</v>
      </c>
      <c r="Z537">
        <v>1</v>
      </c>
    </row>
    <row r="538" spans="1:26" x14ac:dyDescent="0.2">
      <c r="A538" t="s">
        <v>10</v>
      </c>
      <c r="B538" t="s">
        <v>45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O538" t="s">
        <v>14</v>
      </c>
      <c r="P538" t="s">
        <v>19</v>
      </c>
      <c r="R538">
        <v>0</v>
      </c>
      <c r="S538">
        <v>1</v>
      </c>
      <c r="T538">
        <v>1</v>
      </c>
      <c r="U538">
        <v>200</v>
      </c>
      <c r="V538">
        <v>200</v>
      </c>
      <c r="W538">
        <v>226</v>
      </c>
      <c r="X538">
        <v>112.19</v>
      </c>
      <c r="Y538" t="str">
        <f t="shared" si="8"/>
        <v>Hardware/Parts Install</v>
      </c>
      <c r="Z538">
        <v>1</v>
      </c>
    </row>
    <row r="539" spans="1:26" x14ac:dyDescent="0.2">
      <c r="A539" t="s">
        <v>10</v>
      </c>
      <c r="B539" t="s">
        <v>47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O539" t="s">
        <v>26</v>
      </c>
      <c r="Q539" t="s">
        <v>27</v>
      </c>
      <c r="R539">
        <v>0</v>
      </c>
      <c r="S539">
        <v>0</v>
      </c>
      <c r="T539">
        <v>1</v>
      </c>
      <c r="U539">
        <v>1000</v>
      </c>
      <c r="V539">
        <v>1000</v>
      </c>
      <c r="W539">
        <v>1130</v>
      </c>
      <c r="X539">
        <v>116.78</v>
      </c>
      <c r="Z539">
        <v>1</v>
      </c>
    </row>
    <row r="540" spans="1:26" x14ac:dyDescent="0.2">
      <c r="A540" t="s">
        <v>6</v>
      </c>
      <c r="B540" t="s">
        <v>70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O540" t="s">
        <v>15</v>
      </c>
      <c r="P540" t="s">
        <v>19</v>
      </c>
      <c r="R540">
        <v>0</v>
      </c>
      <c r="S540">
        <v>0</v>
      </c>
      <c r="T540">
        <v>9</v>
      </c>
      <c r="U540">
        <v>42</v>
      </c>
      <c r="V540">
        <v>378</v>
      </c>
      <c r="W540">
        <v>427.14</v>
      </c>
      <c r="X540">
        <v>117.4</v>
      </c>
      <c r="Z540">
        <v>1</v>
      </c>
    </row>
    <row r="541" spans="1:26" x14ac:dyDescent="0.2">
      <c r="A541" t="s">
        <v>6</v>
      </c>
      <c r="B541" t="s">
        <v>259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O541" t="s">
        <v>14</v>
      </c>
      <c r="Q541" t="s">
        <v>149</v>
      </c>
      <c r="R541">
        <v>0</v>
      </c>
      <c r="S541">
        <v>1</v>
      </c>
      <c r="T541">
        <v>29</v>
      </c>
      <c r="U541">
        <v>4350</v>
      </c>
      <c r="V541">
        <v>4350</v>
      </c>
      <c r="W541">
        <v>4915.5</v>
      </c>
      <c r="X541">
        <v>117.83</v>
      </c>
      <c r="Y541" t="str">
        <f t="shared" si="8"/>
        <v xml:space="preserve"> Install</v>
      </c>
      <c r="Z541">
        <v>1</v>
      </c>
    </row>
    <row r="542" spans="1:26" x14ac:dyDescent="0.2">
      <c r="A542" t="s">
        <v>10</v>
      </c>
      <c r="B542" t="s">
        <v>223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1</v>
      </c>
      <c r="O542" t="s">
        <v>17</v>
      </c>
      <c r="P542" t="s">
        <v>19</v>
      </c>
      <c r="R542">
        <v>0</v>
      </c>
      <c r="S542">
        <v>0</v>
      </c>
      <c r="T542">
        <v>1</v>
      </c>
      <c r="U542">
        <v>500</v>
      </c>
      <c r="V542">
        <v>500</v>
      </c>
      <c r="W542">
        <v>565</v>
      </c>
      <c r="X542">
        <v>126</v>
      </c>
      <c r="Z542">
        <v>1</v>
      </c>
    </row>
    <row r="543" spans="1:26" x14ac:dyDescent="0.2">
      <c r="A543" t="s">
        <v>6</v>
      </c>
      <c r="B543" t="s">
        <v>259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O543" t="s">
        <v>14</v>
      </c>
      <c r="Q543" t="s">
        <v>149</v>
      </c>
      <c r="R543">
        <v>0</v>
      </c>
      <c r="S543">
        <v>1</v>
      </c>
      <c r="T543">
        <v>34</v>
      </c>
      <c r="U543">
        <v>4590</v>
      </c>
      <c r="V543">
        <v>4590</v>
      </c>
      <c r="W543">
        <v>5186.7</v>
      </c>
      <c r="X543">
        <v>127.5</v>
      </c>
      <c r="Y543" t="str">
        <f t="shared" si="8"/>
        <v xml:space="preserve"> Install</v>
      </c>
      <c r="Z543">
        <v>1</v>
      </c>
    </row>
    <row r="544" spans="1:26" x14ac:dyDescent="0.2">
      <c r="A544" t="s">
        <v>6</v>
      </c>
      <c r="B544" t="s">
        <v>62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O544" t="s">
        <v>14</v>
      </c>
      <c r="P544" t="s">
        <v>19</v>
      </c>
      <c r="R544">
        <v>0</v>
      </c>
      <c r="S544">
        <v>1</v>
      </c>
      <c r="T544">
        <v>1</v>
      </c>
      <c r="U544">
        <v>45</v>
      </c>
      <c r="V544">
        <v>45</v>
      </c>
      <c r="W544">
        <v>50.85</v>
      </c>
      <c r="X544">
        <v>132</v>
      </c>
      <c r="Y544" t="str">
        <f t="shared" si="8"/>
        <v>Hardware/Parts Install</v>
      </c>
      <c r="Z544">
        <v>1</v>
      </c>
    </row>
    <row r="545" spans="1:26" x14ac:dyDescent="0.2">
      <c r="A545" t="s">
        <v>6</v>
      </c>
      <c r="B545" t="s">
        <v>62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O545" t="s">
        <v>14</v>
      </c>
      <c r="Q545" t="s">
        <v>149</v>
      </c>
      <c r="R545">
        <v>0</v>
      </c>
      <c r="S545">
        <v>1</v>
      </c>
      <c r="T545">
        <v>1</v>
      </c>
      <c r="U545">
        <v>1400</v>
      </c>
      <c r="V545">
        <v>1400</v>
      </c>
      <c r="W545">
        <v>1582</v>
      </c>
      <c r="X545">
        <v>132.4</v>
      </c>
      <c r="Y545" t="str">
        <f t="shared" si="8"/>
        <v xml:space="preserve"> Install</v>
      </c>
      <c r="Z545">
        <v>1</v>
      </c>
    </row>
    <row r="546" spans="1:26" x14ac:dyDescent="0.2">
      <c r="A546" t="s">
        <v>10</v>
      </c>
      <c r="B546" t="s">
        <v>162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O546" t="s">
        <v>14</v>
      </c>
      <c r="P546" t="s">
        <v>9</v>
      </c>
      <c r="Q546" t="s">
        <v>271</v>
      </c>
      <c r="R546">
        <v>0</v>
      </c>
      <c r="S546">
        <v>1</v>
      </c>
      <c r="T546">
        <v>9</v>
      </c>
      <c r="U546">
        <v>18000</v>
      </c>
      <c r="V546">
        <v>18000</v>
      </c>
      <c r="W546">
        <v>20340</v>
      </c>
      <c r="X546">
        <v>136.29</v>
      </c>
      <c r="Y546" t="str">
        <f t="shared" si="8"/>
        <v>Door (General) Install</v>
      </c>
      <c r="Z546">
        <v>1</v>
      </c>
    </row>
    <row r="547" spans="1:26" x14ac:dyDescent="0.2">
      <c r="A547" t="s">
        <v>42</v>
      </c>
      <c r="B547" t="s">
        <v>244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O547" t="s">
        <v>38</v>
      </c>
      <c r="Q547" t="s">
        <v>12</v>
      </c>
      <c r="R547">
        <v>0</v>
      </c>
      <c r="S547">
        <v>0</v>
      </c>
      <c r="T547">
        <v>1</v>
      </c>
      <c r="U547">
        <v>1600</v>
      </c>
      <c r="V547">
        <v>1600</v>
      </c>
      <c r="W547">
        <v>1808</v>
      </c>
      <c r="X547">
        <v>145.30000000000001</v>
      </c>
      <c r="Z547">
        <v>1</v>
      </c>
    </row>
    <row r="548" spans="1:26" x14ac:dyDescent="0.2">
      <c r="A548" t="s">
        <v>6</v>
      </c>
      <c r="B548" t="s">
        <v>41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O548" t="s">
        <v>14</v>
      </c>
      <c r="Q548" t="s">
        <v>12</v>
      </c>
      <c r="R548">
        <v>0</v>
      </c>
      <c r="S548">
        <v>1</v>
      </c>
      <c r="T548">
        <v>10</v>
      </c>
      <c r="U548">
        <v>1200</v>
      </c>
      <c r="V548">
        <v>1200</v>
      </c>
      <c r="W548">
        <v>1356</v>
      </c>
      <c r="X548">
        <v>147.53</v>
      </c>
      <c r="Y548" t="str">
        <f t="shared" si="8"/>
        <v xml:space="preserve"> Install</v>
      </c>
      <c r="Z548">
        <v>1</v>
      </c>
    </row>
    <row r="549" spans="1:26" x14ac:dyDescent="0.2">
      <c r="A549" t="s">
        <v>6</v>
      </c>
      <c r="B549" t="s">
        <v>46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O549" t="s">
        <v>38</v>
      </c>
      <c r="Q549" t="s">
        <v>12</v>
      </c>
      <c r="R549">
        <v>0</v>
      </c>
      <c r="S549">
        <v>0</v>
      </c>
      <c r="T549">
        <v>1</v>
      </c>
      <c r="U549">
        <v>1070</v>
      </c>
      <c r="V549">
        <v>1070</v>
      </c>
      <c r="W549">
        <v>1209.0999999999999</v>
      </c>
      <c r="X549">
        <v>152.76</v>
      </c>
      <c r="Z549">
        <v>1</v>
      </c>
    </row>
    <row r="550" spans="1:26" x14ac:dyDescent="0.2">
      <c r="A550" t="s">
        <v>10</v>
      </c>
      <c r="B550" t="s">
        <v>240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</v>
      </c>
      <c r="O550" t="s">
        <v>14</v>
      </c>
      <c r="P550" t="s">
        <v>19</v>
      </c>
      <c r="R550">
        <v>0</v>
      </c>
      <c r="S550">
        <v>1</v>
      </c>
      <c r="T550">
        <v>1</v>
      </c>
      <c r="U550">
        <v>1415</v>
      </c>
      <c r="V550">
        <v>1415</v>
      </c>
      <c r="W550">
        <v>1598.95</v>
      </c>
      <c r="X550">
        <v>156.01</v>
      </c>
      <c r="Y550" t="str">
        <f t="shared" si="8"/>
        <v>Hardware/Parts Install</v>
      </c>
      <c r="Z550">
        <v>1</v>
      </c>
    </row>
    <row r="551" spans="1:26" x14ac:dyDescent="0.2">
      <c r="A551" t="s">
        <v>6</v>
      </c>
      <c r="B551" t="s">
        <v>35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O551" t="s">
        <v>14</v>
      </c>
      <c r="Q551" t="s">
        <v>12</v>
      </c>
      <c r="R551">
        <v>0</v>
      </c>
      <c r="S551">
        <v>1</v>
      </c>
      <c r="T551">
        <v>2</v>
      </c>
      <c r="U551">
        <v>1000</v>
      </c>
      <c r="V551">
        <v>2000</v>
      </c>
      <c r="W551">
        <v>2260</v>
      </c>
      <c r="X551">
        <v>160</v>
      </c>
      <c r="Y551" t="str">
        <f t="shared" si="8"/>
        <v xml:space="preserve"> Install</v>
      </c>
      <c r="Z551">
        <v>1</v>
      </c>
    </row>
    <row r="552" spans="1:26" x14ac:dyDescent="0.2">
      <c r="A552" t="s">
        <v>6</v>
      </c>
      <c r="B552" t="s">
        <v>170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O552" t="s">
        <v>15</v>
      </c>
      <c r="Q552" t="s">
        <v>12</v>
      </c>
      <c r="R552">
        <v>0</v>
      </c>
      <c r="S552">
        <v>0</v>
      </c>
      <c r="T552">
        <v>1</v>
      </c>
      <c r="U552">
        <v>1080</v>
      </c>
      <c r="V552">
        <v>1080</v>
      </c>
      <c r="W552">
        <v>1220.4000000000001</v>
      </c>
      <c r="X552">
        <v>164</v>
      </c>
      <c r="Z552">
        <v>1</v>
      </c>
    </row>
    <row r="553" spans="1:26" x14ac:dyDescent="0.2">
      <c r="A553" t="s">
        <v>6</v>
      </c>
      <c r="B553" t="s">
        <v>54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O553" t="s">
        <v>14</v>
      </c>
      <c r="Q553" t="s">
        <v>254</v>
      </c>
      <c r="R553">
        <v>0</v>
      </c>
      <c r="S553">
        <v>1</v>
      </c>
      <c r="T553">
        <v>4</v>
      </c>
      <c r="U553">
        <v>1400</v>
      </c>
      <c r="V553">
        <v>1400</v>
      </c>
      <c r="W553">
        <v>1582</v>
      </c>
      <c r="X553">
        <v>185.77</v>
      </c>
      <c r="Y553" t="str">
        <f t="shared" si="8"/>
        <v xml:space="preserve"> Install</v>
      </c>
      <c r="Z553">
        <v>1</v>
      </c>
    </row>
    <row r="554" spans="1:26" x14ac:dyDescent="0.2">
      <c r="A554" t="s">
        <v>10</v>
      </c>
      <c r="B554" t="s">
        <v>43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O554" t="s">
        <v>14</v>
      </c>
      <c r="P554" t="s">
        <v>19</v>
      </c>
      <c r="R554">
        <v>0</v>
      </c>
      <c r="S554">
        <v>1</v>
      </c>
      <c r="T554">
        <v>5</v>
      </c>
      <c r="U554">
        <v>150</v>
      </c>
      <c r="V554">
        <v>750</v>
      </c>
      <c r="W554">
        <v>847.5</v>
      </c>
      <c r="X554">
        <v>187.45</v>
      </c>
      <c r="Y554" t="str">
        <f t="shared" si="8"/>
        <v>Hardware/Parts Install</v>
      </c>
      <c r="Z554">
        <v>1</v>
      </c>
    </row>
    <row r="555" spans="1:26" x14ac:dyDescent="0.2">
      <c r="A555" t="s">
        <v>10</v>
      </c>
      <c r="B555" t="s">
        <v>43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1</v>
      </c>
      <c r="O555" t="s">
        <v>88</v>
      </c>
      <c r="P555" t="s">
        <v>19</v>
      </c>
      <c r="R555">
        <v>0</v>
      </c>
      <c r="S555">
        <v>0</v>
      </c>
      <c r="T555">
        <v>31</v>
      </c>
      <c r="U555">
        <v>42</v>
      </c>
      <c r="V555">
        <v>1302</v>
      </c>
      <c r="W555">
        <v>1471.26</v>
      </c>
      <c r="X555">
        <v>187.45</v>
      </c>
      <c r="Z555">
        <v>1</v>
      </c>
    </row>
    <row r="556" spans="1:26" x14ac:dyDescent="0.2">
      <c r="A556" t="s">
        <v>10</v>
      </c>
      <c r="B556" t="s">
        <v>181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1</v>
      </c>
      <c r="O556" t="s">
        <v>23</v>
      </c>
      <c r="P556" t="s">
        <v>19</v>
      </c>
      <c r="R556">
        <v>0</v>
      </c>
      <c r="S556">
        <v>0</v>
      </c>
      <c r="T556">
        <v>3</v>
      </c>
      <c r="U556">
        <v>100</v>
      </c>
      <c r="V556">
        <v>300</v>
      </c>
      <c r="W556">
        <v>339</v>
      </c>
      <c r="X556">
        <v>195.9</v>
      </c>
      <c r="Z556">
        <v>1</v>
      </c>
    </row>
    <row r="557" spans="1:26" x14ac:dyDescent="0.2">
      <c r="A557" t="s">
        <v>6</v>
      </c>
      <c r="B557" t="s">
        <v>187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O557" t="s">
        <v>38</v>
      </c>
      <c r="P557" t="s">
        <v>19</v>
      </c>
      <c r="R557">
        <v>0</v>
      </c>
      <c r="S557">
        <v>0</v>
      </c>
      <c r="T557">
        <v>1</v>
      </c>
      <c r="U557">
        <v>450</v>
      </c>
      <c r="V557">
        <v>450</v>
      </c>
      <c r="W557">
        <v>508.5</v>
      </c>
      <c r="X557">
        <v>204</v>
      </c>
      <c r="Y557" t="str">
        <f t="shared" si="8"/>
        <v>Hardware/Parts Supply &amp; Install</v>
      </c>
      <c r="Z557">
        <v>2</v>
      </c>
    </row>
    <row r="558" spans="1:26" x14ac:dyDescent="0.2">
      <c r="A558" t="s">
        <v>42</v>
      </c>
      <c r="B558" t="s">
        <v>122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O558" t="s">
        <v>38</v>
      </c>
      <c r="P558" t="s">
        <v>19</v>
      </c>
      <c r="R558">
        <v>0</v>
      </c>
      <c r="S558">
        <v>0</v>
      </c>
      <c r="T558">
        <v>9</v>
      </c>
      <c r="U558">
        <v>2680</v>
      </c>
      <c r="V558">
        <v>2680</v>
      </c>
      <c r="W558">
        <v>3028.4</v>
      </c>
      <c r="X558">
        <v>210</v>
      </c>
      <c r="Y558" t="str">
        <f t="shared" si="8"/>
        <v>Hardware/Parts Supply &amp; Install</v>
      </c>
      <c r="Z558">
        <v>2</v>
      </c>
    </row>
    <row r="559" spans="1:26" x14ac:dyDescent="0.2">
      <c r="A559" t="s">
        <v>6</v>
      </c>
      <c r="B559" t="s">
        <v>202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O559" t="s">
        <v>14</v>
      </c>
      <c r="P559" t="s">
        <v>19</v>
      </c>
      <c r="R559">
        <v>0</v>
      </c>
      <c r="S559">
        <v>1</v>
      </c>
      <c r="T559">
        <v>1</v>
      </c>
      <c r="U559">
        <v>910</v>
      </c>
      <c r="V559">
        <v>910</v>
      </c>
      <c r="W559">
        <v>1028.3</v>
      </c>
      <c r="X559">
        <v>210</v>
      </c>
      <c r="Y559" t="str">
        <f t="shared" si="8"/>
        <v>Hardware/Parts Install</v>
      </c>
      <c r="Z559">
        <v>2</v>
      </c>
    </row>
    <row r="560" spans="1:26" x14ac:dyDescent="0.2">
      <c r="A560" t="s">
        <v>6</v>
      </c>
      <c r="B560" t="s">
        <v>202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O560" t="s">
        <v>14</v>
      </c>
      <c r="Q560" t="s">
        <v>149</v>
      </c>
      <c r="R560">
        <v>0</v>
      </c>
      <c r="S560">
        <v>1</v>
      </c>
      <c r="T560">
        <v>8</v>
      </c>
      <c r="U560">
        <v>250</v>
      </c>
      <c r="V560">
        <v>2000</v>
      </c>
      <c r="W560">
        <v>2260</v>
      </c>
      <c r="X560">
        <v>210</v>
      </c>
      <c r="Y560" t="str">
        <f t="shared" si="8"/>
        <v xml:space="preserve"> Install</v>
      </c>
      <c r="Z560">
        <v>2</v>
      </c>
    </row>
    <row r="561" spans="1:26" x14ac:dyDescent="0.2">
      <c r="A561" t="s">
        <v>10</v>
      </c>
      <c r="B561" t="s">
        <v>75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O561" t="s">
        <v>26</v>
      </c>
      <c r="Q561" t="s">
        <v>27</v>
      </c>
      <c r="R561">
        <v>0</v>
      </c>
      <c r="S561">
        <v>0</v>
      </c>
      <c r="T561">
        <v>1</v>
      </c>
      <c r="U561">
        <v>550</v>
      </c>
      <c r="V561">
        <v>550</v>
      </c>
      <c r="W561">
        <v>621.5</v>
      </c>
      <c r="X561">
        <v>219.08</v>
      </c>
      <c r="Z561">
        <v>2</v>
      </c>
    </row>
    <row r="562" spans="1:26" x14ac:dyDescent="0.2">
      <c r="A562" t="s">
        <v>10</v>
      </c>
      <c r="B562" t="s">
        <v>160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</v>
      </c>
      <c r="O562" t="s">
        <v>17</v>
      </c>
      <c r="P562" t="s">
        <v>19</v>
      </c>
      <c r="R562">
        <v>0</v>
      </c>
      <c r="S562">
        <v>0</v>
      </c>
      <c r="T562">
        <v>1</v>
      </c>
      <c r="U562">
        <v>300</v>
      </c>
      <c r="V562">
        <v>300</v>
      </c>
      <c r="W562">
        <v>339</v>
      </c>
      <c r="X562">
        <v>219.08</v>
      </c>
      <c r="Z562">
        <v>2</v>
      </c>
    </row>
    <row r="563" spans="1:26" x14ac:dyDescent="0.2">
      <c r="A563" t="s">
        <v>42</v>
      </c>
      <c r="B563" t="s">
        <v>213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O563" t="s">
        <v>49</v>
      </c>
      <c r="P563" t="s">
        <v>19</v>
      </c>
      <c r="R563">
        <v>0</v>
      </c>
      <c r="S563">
        <v>0</v>
      </c>
      <c r="T563">
        <v>1</v>
      </c>
      <c r="U563">
        <v>185</v>
      </c>
      <c r="V563">
        <v>185</v>
      </c>
      <c r="W563">
        <v>209.05</v>
      </c>
      <c r="X563">
        <v>225.15</v>
      </c>
      <c r="Z563">
        <v>2</v>
      </c>
    </row>
    <row r="564" spans="1:26" x14ac:dyDescent="0.2">
      <c r="A564" t="s">
        <v>42</v>
      </c>
      <c r="B564" t="s">
        <v>100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O564" t="s">
        <v>31</v>
      </c>
      <c r="P564" t="s">
        <v>19</v>
      </c>
      <c r="R564">
        <v>0</v>
      </c>
      <c r="S564">
        <v>0</v>
      </c>
      <c r="T564">
        <v>1</v>
      </c>
      <c r="U564">
        <v>225</v>
      </c>
      <c r="V564">
        <v>225</v>
      </c>
      <c r="W564">
        <v>254.25</v>
      </c>
      <c r="X564">
        <v>225.22</v>
      </c>
      <c r="Z564">
        <v>2</v>
      </c>
    </row>
    <row r="565" spans="1:26" x14ac:dyDescent="0.2">
      <c r="A565" t="s">
        <v>6</v>
      </c>
      <c r="B565" t="s">
        <v>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O565" t="s">
        <v>49</v>
      </c>
      <c r="Q565" t="s">
        <v>12</v>
      </c>
      <c r="R565">
        <v>0</v>
      </c>
      <c r="S565">
        <v>0</v>
      </c>
      <c r="T565">
        <v>1</v>
      </c>
      <c r="U565">
        <v>875</v>
      </c>
      <c r="V565">
        <v>875</v>
      </c>
      <c r="W565">
        <v>988.75</v>
      </c>
      <c r="X565">
        <v>231.4</v>
      </c>
      <c r="Z565">
        <v>2</v>
      </c>
    </row>
    <row r="566" spans="1:26" x14ac:dyDescent="0.2">
      <c r="A566" t="s">
        <v>6</v>
      </c>
      <c r="B566" t="s">
        <v>109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O566" t="s">
        <v>38</v>
      </c>
      <c r="Q566" t="s">
        <v>12</v>
      </c>
      <c r="R566">
        <v>0</v>
      </c>
      <c r="S566">
        <v>0</v>
      </c>
      <c r="T566">
        <v>2</v>
      </c>
      <c r="U566">
        <v>2600</v>
      </c>
      <c r="V566">
        <v>2600</v>
      </c>
      <c r="W566">
        <v>2938</v>
      </c>
      <c r="X566">
        <v>234</v>
      </c>
      <c r="Z566">
        <v>2</v>
      </c>
    </row>
    <row r="567" spans="1:26" x14ac:dyDescent="0.2">
      <c r="A567" t="s">
        <v>10</v>
      </c>
      <c r="B567" t="s">
        <v>131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O567" t="s">
        <v>17</v>
      </c>
      <c r="Q567" t="s">
        <v>149</v>
      </c>
      <c r="R567">
        <v>0</v>
      </c>
      <c r="S567">
        <v>0</v>
      </c>
      <c r="T567">
        <v>1</v>
      </c>
      <c r="U567">
        <v>800</v>
      </c>
      <c r="V567">
        <v>800</v>
      </c>
      <c r="W567">
        <v>904</v>
      </c>
      <c r="X567">
        <v>266</v>
      </c>
      <c r="Z567">
        <v>2</v>
      </c>
    </row>
    <row r="568" spans="1:26" x14ac:dyDescent="0.2">
      <c r="A568" t="s">
        <v>42</v>
      </c>
      <c r="B568" t="s">
        <v>239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O568" t="s">
        <v>49</v>
      </c>
      <c r="P568" t="s">
        <v>19</v>
      </c>
      <c r="R568">
        <v>0</v>
      </c>
      <c r="S568">
        <v>0</v>
      </c>
      <c r="T568">
        <v>1</v>
      </c>
      <c r="U568">
        <v>460</v>
      </c>
      <c r="V568">
        <v>460</v>
      </c>
      <c r="W568">
        <v>519.79999999999995</v>
      </c>
      <c r="X568">
        <v>272</v>
      </c>
      <c r="Z568">
        <v>2</v>
      </c>
    </row>
    <row r="569" spans="1:26" x14ac:dyDescent="0.2">
      <c r="A569" t="s">
        <v>42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O569" t="s">
        <v>49</v>
      </c>
      <c r="Q569" t="s">
        <v>12</v>
      </c>
      <c r="R569">
        <v>0</v>
      </c>
      <c r="S569">
        <v>0</v>
      </c>
      <c r="T569">
        <v>2</v>
      </c>
      <c r="U569">
        <v>674</v>
      </c>
      <c r="V569">
        <v>1348</v>
      </c>
      <c r="W569">
        <v>1523.24</v>
      </c>
      <c r="X569">
        <v>313.04000000000002</v>
      </c>
      <c r="Z569">
        <v>3</v>
      </c>
    </row>
    <row r="570" spans="1:26" x14ac:dyDescent="0.2">
      <c r="A570" t="s">
        <v>10</v>
      </c>
      <c r="B570" t="s">
        <v>96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O570" t="s">
        <v>14</v>
      </c>
      <c r="Q570" t="s">
        <v>254</v>
      </c>
      <c r="R570">
        <v>0</v>
      </c>
      <c r="S570">
        <v>1</v>
      </c>
      <c r="T570">
        <v>11</v>
      </c>
      <c r="U570">
        <v>7600</v>
      </c>
      <c r="V570">
        <v>7600</v>
      </c>
      <c r="W570">
        <v>8588</v>
      </c>
      <c r="X570">
        <v>316</v>
      </c>
      <c r="Y570" t="str">
        <f t="shared" si="8"/>
        <v xml:space="preserve"> Install</v>
      </c>
      <c r="Z570">
        <v>3</v>
      </c>
    </row>
    <row r="571" spans="1:26" x14ac:dyDescent="0.2">
      <c r="A571" t="s">
        <v>10</v>
      </c>
      <c r="B571" t="s">
        <v>134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1</v>
      </c>
      <c r="O571" t="s">
        <v>24</v>
      </c>
      <c r="P571" t="s">
        <v>19</v>
      </c>
      <c r="R571">
        <v>0</v>
      </c>
      <c r="S571">
        <v>0</v>
      </c>
      <c r="T571">
        <v>1</v>
      </c>
      <c r="U571">
        <v>700</v>
      </c>
      <c r="V571">
        <v>700</v>
      </c>
      <c r="W571">
        <v>791</v>
      </c>
      <c r="X571">
        <v>318.19</v>
      </c>
      <c r="Z571">
        <v>3</v>
      </c>
    </row>
    <row r="572" spans="1:26" x14ac:dyDescent="0.2">
      <c r="A572" t="s">
        <v>42</v>
      </c>
      <c r="B572" t="s">
        <v>60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O572" t="s">
        <v>14</v>
      </c>
      <c r="Q572" t="s">
        <v>12</v>
      </c>
      <c r="R572">
        <v>0</v>
      </c>
      <c r="S572">
        <v>1</v>
      </c>
      <c r="T572">
        <v>1</v>
      </c>
      <c r="U572">
        <v>1960</v>
      </c>
      <c r="V572">
        <v>1960</v>
      </c>
      <c r="W572">
        <v>2214.8000000000002</v>
      </c>
      <c r="X572">
        <v>369.23</v>
      </c>
      <c r="Y572" t="str">
        <f t="shared" si="8"/>
        <v xml:space="preserve"> Install</v>
      </c>
      <c r="Z572">
        <v>3</v>
      </c>
    </row>
    <row r="573" spans="1:26" x14ac:dyDescent="0.2">
      <c r="A573" t="s">
        <v>6</v>
      </c>
      <c r="B573" t="s">
        <v>139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O573" t="s">
        <v>38</v>
      </c>
      <c r="Q573" t="s">
        <v>12</v>
      </c>
      <c r="R573">
        <v>0</v>
      </c>
      <c r="S573">
        <v>0</v>
      </c>
      <c r="T573">
        <v>3</v>
      </c>
      <c r="U573">
        <v>1250</v>
      </c>
      <c r="V573">
        <v>3750</v>
      </c>
      <c r="W573">
        <v>4237.5</v>
      </c>
      <c r="X573">
        <v>402</v>
      </c>
      <c r="Z573">
        <v>4</v>
      </c>
    </row>
    <row r="574" spans="1:26" x14ac:dyDescent="0.2">
      <c r="A574" t="s">
        <v>6</v>
      </c>
      <c r="B574" t="s">
        <v>240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O574" t="s">
        <v>14</v>
      </c>
      <c r="Q574" t="s">
        <v>12</v>
      </c>
      <c r="R574">
        <v>0</v>
      </c>
      <c r="S574">
        <v>1</v>
      </c>
      <c r="T574">
        <v>1</v>
      </c>
      <c r="U574">
        <v>625</v>
      </c>
      <c r="V574">
        <v>625</v>
      </c>
      <c r="W574">
        <v>706.25</v>
      </c>
      <c r="X574">
        <v>404</v>
      </c>
      <c r="Y574" t="str">
        <f t="shared" si="8"/>
        <v xml:space="preserve"> Install</v>
      </c>
      <c r="Z574">
        <v>4</v>
      </c>
    </row>
    <row r="575" spans="1:26" x14ac:dyDescent="0.2">
      <c r="A575" t="s">
        <v>6</v>
      </c>
      <c r="B575" t="s">
        <v>274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O575" t="s">
        <v>14</v>
      </c>
      <c r="Q575" t="s">
        <v>149</v>
      </c>
      <c r="R575">
        <v>0</v>
      </c>
      <c r="S575">
        <v>1</v>
      </c>
      <c r="T575">
        <v>21</v>
      </c>
      <c r="U575">
        <v>150</v>
      </c>
      <c r="V575">
        <v>3150</v>
      </c>
      <c r="W575">
        <v>3559.5</v>
      </c>
      <c r="X575">
        <v>404.55</v>
      </c>
      <c r="Y575" t="str">
        <f t="shared" si="8"/>
        <v xml:space="preserve"> Install</v>
      </c>
      <c r="Z575">
        <v>4</v>
      </c>
    </row>
    <row r="576" spans="1:26" x14ac:dyDescent="0.2">
      <c r="A576" t="s">
        <v>10</v>
      </c>
      <c r="B576" t="s">
        <v>230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O576" t="s">
        <v>14</v>
      </c>
      <c r="Q576" t="s">
        <v>12</v>
      </c>
      <c r="R576">
        <v>0</v>
      </c>
      <c r="S576">
        <v>1</v>
      </c>
      <c r="T576">
        <v>6</v>
      </c>
      <c r="U576">
        <v>150</v>
      </c>
      <c r="V576">
        <v>900</v>
      </c>
      <c r="W576">
        <v>1017</v>
      </c>
      <c r="X576">
        <v>558.22</v>
      </c>
      <c r="Y576" t="str">
        <f t="shared" si="8"/>
        <v xml:space="preserve"> Install</v>
      </c>
      <c r="Z576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Lesther Ouma</dc:creator>
  <cp:lastModifiedBy>lesther Sheldon</cp:lastModifiedBy>
  <dcterms:created xsi:type="dcterms:W3CDTF">2026-04-22T22:05:12Z</dcterms:created>
  <dcterms:modified xsi:type="dcterms:W3CDTF">2026-04-28T18:37:18Z</dcterms:modified>
</cp:coreProperties>
</file>